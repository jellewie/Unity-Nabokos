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okoban Unity\"/>
    </mc:Choice>
  </mc:AlternateContent>
  <xr:revisionPtr revIDLastSave="0" documentId="13_ncr:1_{A6BD30C1-E09D-4C9F-AE94-61158611BC59}" xr6:coauthVersionLast="28" xr6:coauthVersionMax="28" xr10:uidLastSave="{00000000-0000-0000-0000-000000000000}"/>
  <bookViews>
    <workbookView xWindow="0" yWindow="0" windowWidth="23040" windowHeight="9048" tabRatio="831" activeTab="2" xr2:uid="{00000000-000D-0000-FFFF-FFFF00000000}"/>
  </bookViews>
  <sheets>
    <sheet name="Data" sheetId="1" r:id="rId1"/>
    <sheet name="a" sheetId="119" r:id="rId2"/>
    <sheet name="Export" sheetId="3" r:id="rId3"/>
    <sheet name="Blad1" sheetId="116" r:id="rId4"/>
    <sheet name="1" sheetId="4" r:id="rId5"/>
    <sheet name="2" sheetId="5" r:id="rId6"/>
    <sheet name="3" sheetId="6" r:id="rId7"/>
    <sheet name="4" sheetId="7" r:id="rId8"/>
    <sheet name="5" sheetId="8" r:id="rId9"/>
    <sheet name="6" sheetId="9" r:id="rId10"/>
    <sheet name="7" sheetId="22" r:id="rId11"/>
    <sheet name="8" sheetId="23" r:id="rId12"/>
    <sheet name="9" sheetId="24" r:id="rId13"/>
    <sheet name="10" sheetId="25" r:id="rId14"/>
    <sheet name="11" sheetId="26" r:id="rId15"/>
    <sheet name="12" sheetId="27" r:id="rId16"/>
    <sheet name="13" sheetId="28" r:id="rId17"/>
    <sheet name="14" sheetId="29" r:id="rId18"/>
    <sheet name="15" sheetId="30" r:id="rId19"/>
    <sheet name="16" sheetId="31" r:id="rId20"/>
    <sheet name="17" sheetId="32" r:id="rId21"/>
    <sheet name="18" sheetId="33" r:id="rId22"/>
    <sheet name="19" sheetId="34" r:id="rId23"/>
    <sheet name="20" sheetId="35" r:id="rId24"/>
    <sheet name="21" sheetId="36" r:id="rId25"/>
    <sheet name="22" sheetId="37" r:id="rId26"/>
    <sheet name="23" sheetId="38" r:id="rId27"/>
    <sheet name="24" sheetId="39" r:id="rId28"/>
    <sheet name="25" sheetId="40" r:id="rId29"/>
    <sheet name="26" sheetId="41" r:id="rId30"/>
    <sheet name="27" sheetId="42" r:id="rId31"/>
    <sheet name="28" sheetId="43" r:id="rId32"/>
    <sheet name="29" sheetId="44" r:id="rId33"/>
    <sheet name="30" sheetId="45" r:id="rId34"/>
    <sheet name="31" sheetId="46" r:id="rId35"/>
    <sheet name="32" sheetId="47" r:id="rId36"/>
    <sheet name="33" sheetId="48" r:id="rId37"/>
    <sheet name="34" sheetId="49" r:id="rId38"/>
    <sheet name="35" sheetId="50" r:id="rId39"/>
    <sheet name="36" sheetId="51" r:id="rId40"/>
    <sheet name="37" sheetId="52" r:id="rId41"/>
    <sheet name="38" sheetId="53" r:id="rId42"/>
    <sheet name="39" sheetId="54" r:id="rId43"/>
    <sheet name="40" sheetId="55" r:id="rId44"/>
    <sheet name="41" sheetId="56" r:id="rId45"/>
    <sheet name="42" sheetId="57" r:id="rId46"/>
    <sheet name="43" sheetId="58" r:id="rId47"/>
    <sheet name="44" sheetId="59" r:id="rId48"/>
    <sheet name="45" sheetId="60" r:id="rId49"/>
    <sheet name="46" sheetId="61" r:id="rId50"/>
    <sheet name="47" sheetId="62" r:id="rId51"/>
    <sheet name="48" sheetId="63" r:id="rId52"/>
    <sheet name="49" sheetId="64" r:id="rId53"/>
    <sheet name="50" sheetId="65" r:id="rId54"/>
    <sheet name="51" sheetId="66" r:id="rId55"/>
    <sheet name="52" sheetId="67" r:id="rId56"/>
    <sheet name="53" sheetId="68" r:id="rId57"/>
    <sheet name="54" sheetId="69" r:id="rId58"/>
    <sheet name="55" sheetId="70" r:id="rId59"/>
    <sheet name="56" sheetId="71" r:id="rId60"/>
    <sheet name="57" sheetId="72" r:id="rId61"/>
    <sheet name="58" sheetId="73" r:id="rId62"/>
    <sheet name="59" sheetId="74" r:id="rId63"/>
    <sheet name="60" sheetId="75" r:id="rId64"/>
    <sheet name="61" sheetId="76" r:id="rId65"/>
    <sheet name="62" sheetId="77" r:id="rId66"/>
    <sheet name="63" sheetId="78" r:id="rId67"/>
    <sheet name="64" sheetId="79" r:id="rId68"/>
    <sheet name="65" sheetId="80" r:id="rId69"/>
    <sheet name="66" sheetId="81" r:id="rId70"/>
    <sheet name="67" sheetId="82" r:id="rId71"/>
    <sheet name="68" sheetId="83" r:id="rId72"/>
    <sheet name="69" sheetId="84" r:id="rId73"/>
    <sheet name="70" sheetId="85" r:id="rId74"/>
    <sheet name="71" sheetId="86" r:id="rId75"/>
    <sheet name="72" sheetId="87" r:id="rId76"/>
    <sheet name="73" sheetId="88" r:id="rId77"/>
    <sheet name="74" sheetId="89" r:id="rId78"/>
    <sheet name="75" sheetId="90" r:id="rId79"/>
    <sheet name="76" sheetId="91" r:id="rId80"/>
    <sheet name="77" sheetId="92" r:id="rId81"/>
    <sheet name="78" sheetId="93" r:id="rId82"/>
    <sheet name="79" sheetId="94" r:id="rId83"/>
    <sheet name="80" sheetId="95" r:id="rId84"/>
    <sheet name="81" sheetId="96" r:id="rId85"/>
    <sheet name="82" sheetId="97" r:id="rId86"/>
    <sheet name="83" sheetId="98" r:id="rId87"/>
    <sheet name="84" sheetId="99" r:id="rId88"/>
    <sheet name="85" sheetId="100" r:id="rId89"/>
    <sheet name="Blad2" sheetId="117" r:id="rId90"/>
    <sheet name="86" sheetId="101" r:id="rId91"/>
    <sheet name="87" sheetId="102" r:id="rId92"/>
    <sheet name="88" sheetId="103" r:id="rId93"/>
    <sheet name="89" sheetId="104" r:id="rId94"/>
    <sheet name="90" sheetId="105" r:id="rId95"/>
    <sheet name="91" sheetId="106" r:id="rId96"/>
    <sheet name="92" sheetId="107" r:id="rId97"/>
    <sheet name="93" sheetId="108" r:id="rId98"/>
    <sheet name="94" sheetId="109" r:id="rId99"/>
    <sheet name="95" sheetId="110" r:id="rId100"/>
    <sheet name="96" sheetId="111" r:id="rId101"/>
    <sheet name="97" sheetId="112" r:id="rId102"/>
    <sheet name="98" sheetId="113" r:id="rId103"/>
    <sheet name="99" sheetId="114" r:id="rId104"/>
    <sheet name="100" sheetId="115" r:id="rId105"/>
    <sheet name="101" sheetId="118" r:id="rId10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2" i="3" l="1"/>
  <c r="P102" i="3"/>
  <c r="Q101" i="3"/>
  <c r="P101" i="3"/>
  <c r="Q100" i="3"/>
  <c r="P100" i="3"/>
  <c r="Q99" i="3"/>
  <c r="P99" i="3"/>
  <c r="Q98" i="3"/>
  <c r="P98" i="3"/>
  <c r="Q97" i="3"/>
  <c r="P97" i="3"/>
  <c r="Q96" i="3"/>
  <c r="P96" i="3"/>
  <c r="Q95" i="3"/>
  <c r="P95" i="3"/>
  <c r="Q94" i="3"/>
  <c r="P94" i="3"/>
  <c r="Q93" i="3"/>
  <c r="P93" i="3"/>
  <c r="Q92" i="3"/>
  <c r="P92" i="3"/>
  <c r="Q91" i="3"/>
  <c r="P91" i="3"/>
  <c r="Q90" i="3"/>
  <c r="P90" i="3"/>
  <c r="Q89" i="3"/>
  <c r="P89" i="3"/>
  <c r="Q88" i="3"/>
  <c r="P88" i="3"/>
  <c r="Q87" i="3"/>
  <c r="P87" i="3"/>
  <c r="Q86" i="3"/>
  <c r="P86" i="3"/>
  <c r="Q85" i="3"/>
  <c r="P85" i="3"/>
  <c r="Q84" i="3"/>
  <c r="P84" i="3"/>
  <c r="Q83" i="3"/>
  <c r="P83" i="3"/>
  <c r="Q82" i="3"/>
  <c r="P82" i="3"/>
  <c r="Q81" i="3"/>
  <c r="P81" i="3"/>
  <c r="Q80" i="3"/>
  <c r="P80" i="3"/>
  <c r="Q79" i="3"/>
  <c r="P79" i="3"/>
  <c r="Q78" i="3"/>
  <c r="P78" i="3"/>
  <c r="Q77" i="3"/>
  <c r="P77" i="3"/>
  <c r="Q76" i="3"/>
  <c r="P76" i="3"/>
  <c r="Q75" i="3"/>
  <c r="P75" i="3"/>
  <c r="Q74" i="3"/>
  <c r="P74" i="3"/>
  <c r="Q73" i="3"/>
  <c r="P73" i="3"/>
  <c r="Q72" i="3"/>
  <c r="P72" i="3"/>
  <c r="Q71" i="3"/>
  <c r="P71" i="3"/>
  <c r="Q70" i="3"/>
  <c r="P70" i="3"/>
  <c r="Q69" i="3"/>
  <c r="P69" i="3"/>
  <c r="Q68" i="3"/>
  <c r="P68" i="3"/>
  <c r="Q67" i="3"/>
  <c r="P67" i="3"/>
  <c r="Q66" i="3"/>
  <c r="P66" i="3"/>
  <c r="Q65" i="3"/>
  <c r="P65" i="3"/>
  <c r="Q64" i="3"/>
  <c r="P64" i="3"/>
  <c r="Q63" i="3"/>
  <c r="P63" i="3"/>
  <c r="Q62" i="3"/>
  <c r="P62" i="3"/>
  <c r="Q61" i="3"/>
  <c r="P61" i="3"/>
  <c r="Q60" i="3"/>
  <c r="P60" i="3"/>
  <c r="Q59" i="3"/>
  <c r="P59" i="3"/>
  <c r="Q58" i="3"/>
  <c r="P58" i="3"/>
  <c r="Q57" i="3"/>
  <c r="P57" i="3"/>
  <c r="Q56" i="3"/>
  <c r="P56" i="3"/>
  <c r="Q55" i="3"/>
  <c r="P55" i="3"/>
  <c r="Q54" i="3"/>
  <c r="P54" i="3"/>
  <c r="Q53" i="3"/>
  <c r="P53" i="3"/>
  <c r="Q52" i="3"/>
  <c r="P52" i="3"/>
  <c r="Q51" i="3"/>
  <c r="P51" i="3"/>
  <c r="Q50" i="3"/>
  <c r="P50" i="3"/>
  <c r="Q49" i="3"/>
  <c r="P49" i="3"/>
  <c r="Q48" i="3"/>
  <c r="P48" i="3"/>
  <c r="Q47" i="3"/>
  <c r="P47" i="3"/>
  <c r="Q46" i="3"/>
  <c r="P46" i="3"/>
  <c r="Q45" i="3"/>
  <c r="P45" i="3"/>
  <c r="Q44" i="3"/>
  <c r="P44" i="3"/>
  <c r="Q43" i="3"/>
  <c r="P43" i="3"/>
  <c r="Q42" i="3"/>
  <c r="P42" i="3"/>
  <c r="Q41" i="3"/>
  <c r="P41" i="3"/>
  <c r="Q40" i="3"/>
  <c r="P40" i="3"/>
  <c r="Q39" i="3"/>
  <c r="P39" i="3"/>
  <c r="Q38" i="3"/>
  <c r="P38" i="3"/>
  <c r="Q37" i="3"/>
  <c r="P37" i="3"/>
  <c r="Q36" i="3"/>
  <c r="P36" i="3"/>
  <c r="Q35" i="3"/>
  <c r="P35" i="3"/>
  <c r="Q34" i="3"/>
  <c r="P34" i="3"/>
  <c r="Q33" i="3"/>
  <c r="P33" i="3"/>
  <c r="Q32" i="3"/>
  <c r="P32" i="3"/>
  <c r="Q31" i="3"/>
  <c r="P31" i="3"/>
  <c r="Q30" i="3"/>
  <c r="P30" i="3"/>
  <c r="Q29" i="3"/>
  <c r="P29" i="3"/>
  <c r="Q28" i="3"/>
  <c r="P28" i="3"/>
  <c r="Q27" i="3"/>
  <c r="P27" i="3"/>
  <c r="Q26" i="3"/>
  <c r="P26" i="3"/>
  <c r="Q25" i="3"/>
  <c r="P25" i="3"/>
  <c r="Q24" i="3"/>
  <c r="P24" i="3"/>
  <c r="Q23" i="3"/>
  <c r="P23" i="3"/>
  <c r="Q22" i="3"/>
  <c r="P22" i="3"/>
  <c r="Q21" i="3"/>
  <c r="P21" i="3"/>
  <c r="Q20" i="3"/>
  <c r="P20" i="3"/>
  <c r="Q19" i="3"/>
  <c r="P19" i="3"/>
  <c r="Q18" i="3"/>
  <c r="P18" i="3"/>
  <c r="Q17" i="3"/>
  <c r="P17" i="3"/>
  <c r="Q16" i="3"/>
  <c r="P16" i="3"/>
  <c r="Q15" i="3"/>
  <c r="P15" i="3"/>
  <c r="Q14" i="3"/>
  <c r="P14" i="3"/>
  <c r="Q13" i="3"/>
  <c r="P13" i="3"/>
  <c r="Q12" i="3"/>
  <c r="P12" i="3"/>
  <c r="Q11" i="3"/>
  <c r="P11" i="3"/>
  <c r="Q10" i="3"/>
  <c r="P10" i="3"/>
  <c r="Q9" i="3"/>
  <c r="P9" i="3"/>
  <c r="Q8" i="3"/>
  <c r="P8" i="3"/>
  <c r="Q7" i="3"/>
  <c r="P7" i="3"/>
  <c r="Q6" i="3"/>
  <c r="P6" i="3"/>
  <c r="Q5" i="3"/>
  <c r="P5" i="3"/>
  <c r="Q4" i="3"/>
  <c r="P4" i="3"/>
  <c r="Q3" i="3"/>
  <c r="P3" i="3"/>
  <c r="Q2" i="3"/>
  <c r="P2" i="3"/>
  <c r="M99" i="3" l="1"/>
  <c r="N99" i="3"/>
  <c r="L99" i="3"/>
  <c r="M2" i="3"/>
  <c r="N2" i="3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O47" i="3" s="1"/>
  <c r="M48" i="3"/>
  <c r="N48" i="3"/>
  <c r="M49" i="3"/>
  <c r="N49" i="3"/>
  <c r="M50" i="3"/>
  <c r="N50" i="3"/>
  <c r="M51" i="3"/>
  <c r="N51" i="3"/>
  <c r="O51" i="3" s="1"/>
  <c r="M52" i="3"/>
  <c r="N52" i="3"/>
  <c r="O52" i="3" s="1"/>
  <c r="M53" i="3"/>
  <c r="N53" i="3"/>
  <c r="M54" i="3"/>
  <c r="N54" i="3"/>
  <c r="M55" i="3"/>
  <c r="N55" i="3"/>
  <c r="O55" i="3" s="1"/>
  <c r="M56" i="3"/>
  <c r="N56" i="3"/>
  <c r="M57" i="3"/>
  <c r="N57" i="3"/>
  <c r="M58" i="3"/>
  <c r="N58" i="3"/>
  <c r="O58" i="3" s="1"/>
  <c r="M59" i="3"/>
  <c r="N59" i="3"/>
  <c r="O59" i="3" s="1"/>
  <c r="M60" i="3"/>
  <c r="N60" i="3"/>
  <c r="O60" i="3" s="1"/>
  <c r="M61" i="3"/>
  <c r="N61" i="3"/>
  <c r="M62" i="3"/>
  <c r="N62" i="3"/>
  <c r="M63" i="3"/>
  <c r="N63" i="3"/>
  <c r="M64" i="3"/>
  <c r="N64" i="3"/>
  <c r="M65" i="3"/>
  <c r="N65" i="3"/>
  <c r="M66" i="3"/>
  <c r="N66" i="3"/>
  <c r="M67" i="3"/>
  <c r="N67" i="3"/>
  <c r="O67" i="3" s="1"/>
  <c r="M68" i="3"/>
  <c r="N68" i="3"/>
  <c r="O68" i="3" s="1"/>
  <c r="M69" i="3"/>
  <c r="N69" i="3"/>
  <c r="O69" i="3" s="1"/>
  <c r="M70" i="3"/>
  <c r="N70" i="3"/>
  <c r="O70" i="3" s="1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O79" i="3" s="1"/>
  <c r="M80" i="3"/>
  <c r="N80" i="3"/>
  <c r="M81" i="3"/>
  <c r="N81" i="3"/>
  <c r="O81" i="3" s="1"/>
  <c r="M82" i="3"/>
  <c r="N82" i="3"/>
  <c r="M83" i="3"/>
  <c r="N83" i="3"/>
  <c r="O83" i="3" s="1"/>
  <c r="M84" i="3"/>
  <c r="N84" i="3"/>
  <c r="O84" i="3" s="1"/>
  <c r="M85" i="3"/>
  <c r="N85" i="3"/>
  <c r="O85" i="3" s="1"/>
  <c r="M86" i="3"/>
  <c r="N86" i="3"/>
  <c r="M87" i="3"/>
  <c r="N87" i="3"/>
  <c r="O87" i="3" s="1"/>
  <c r="M88" i="3"/>
  <c r="N88" i="3"/>
  <c r="M89" i="3"/>
  <c r="N89" i="3"/>
  <c r="O89" i="3" s="1"/>
  <c r="M90" i="3"/>
  <c r="N90" i="3"/>
  <c r="M91" i="3"/>
  <c r="N91" i="3"/>
  <c r="O91" i="3" s="1"/>
  <c r="M92" i="3"/>
  <c r="N92" i="3"/>
  <c r="M93" i="3"/>
  <c r="N93" i="3"/>
  <c r="O93" i="3" s="1"/>
  <c r="M94" i="3"/>
  <c r="N94" i="3"/>
  <c r="M95" i="3"/>
  <c r="N95" i="3"/>
  <c r="O95" i="3" s="1"/>
  <c r="M96" i="3"/>
  <c r="N96" i="3"/>
  <c r="M97" i="3"/>
  <c r="N97" i="3"/>
  <c r="O97" i="3" s="1"/>
  <c r="M98" i="3"/>
  <c r="N98" i="3"/>
  <c r="M100" i="3"/>
  <c r="N100" i="3"/>
  <c r="O100" i="3" s="1"/>
  <c r="M101" i="3"/>
  <c r="N101" i="3"/>
  <c r="M102" i="3"/>
  <c r="N102" i="3"/>
  <c r="O102" i="3" s="1"/>
  <c r="L102" i="3"/>
  <c r="L101" i="3"/>
  <c r="L100" i="3"/>
  <c r="L98" i="3"/>
  <c r="L97" i="3"/>
  <c r="L96" i="3"/>
  <c r="L95" i="3"/>
  <c r="L94" i="3"/>
  <c r="L93" i="3"/>
  <c r="L92" i="3"/>
  <c r="O92" i="3" s="1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67" i="3"/>
  <c r="L71" i="3"/>
  <c r="L70" i="3"/>
  <c r="L69" i="3"/>
  <c r="L68" i="3"/>
  <c r="L66" i="3"/>
  <c r="L65" i="3"/>
  <c r="L64" i="3"/>
  <c r="L63" i="3"/>
  <c r="L62" i="3"/>
  <c r="L61" i="3"/>
  <c r="L60" i="3"/>
  <c r="L39" i="3"/>
  <c r="L42" i="3"/>
  <c r="L44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3" i="3"/>
  <c r="L41" i="3"/>
  <c r="L40" i="3"/>
  <c r="L38" i="3"/>
  <c r="L37" i="3"/>
  <c r="L36" i="3"/>
  <c r="L35" i="3"/>
  <c r="L34" i="3"/>
  <c r="L33" i="3"/>
  <c r="L32" i="3"/>
  <c r="L31" i="3"/>
  <c r="L30" i="3"/>
  <c r="L29" i="3"/>
  <c r="L23" i="3"/>
  <c r="L21" i="3"/>
  <c r="L19" i="3"/>
  <c r="L18" i="3"/>
  <c r="L17" i="3"/>
  <c r="L28" i="3"/>
  <c r="L27" i="3"/>
  <c r="L26" i="3"/>
  <c r="L25" i="3"/>
  <c r="L24" i="3"/>
  <c r="L22" i="3"/>
  <c r="L20" i="3"/>
  <c r="L16" i="3"/>
  <c r="L15" i="3"/>
  <c r="L14" i="3"/>
  <c r="L12" i="3"/>
  <c r="L10" i="3"/>
  <c r="L9" i="3"/>
  <c r="L8" i="3"/>
  <c r="L13" i="3"/>
  <c r="L11" i="3"/>
  <c r="L7" i="3"/>
  <c r="L6" i="3"/>
  <c r="L5" i="3"/>
  <c r="L4" i="3"/>
  <c r="L3" i="3"/>
  <c r="L2" i="3"/>
  <c r="H102" i="3"/>
  <c r="I102" i="3"/>
  <c r="K102" i="3"/>
  <c r="O31" i="3" l="1"/>
  <c r="O99" i="3"/>
  <c r="O57" i="3"/>
  <c r="O53" i="3"/>
  <c r="O101" i="3"/>
  <c r="O98" i="3"/>
  <c r="O96" i="3"/>
  <c r="O94" i="3"/>
  <c r="O90" i="3"/>
  <c r="O88" i="3"/>
  <c r="O86" i="3"/>
  <c r="O82" i="3"/>
  <c r="O80" i="3"/>
  <c r="O78" i="3"/>
  <c r="O56" i="3"/>
  <c r="O54" i="3"/>
  <c r="O50" i="3"/>
  <c r="O48" i="3"/>
  <c r="O49" i="3"/>
  <c r="O65" i="3"/>
  <c r="O35" i="3"/>
  <c r="O39" i="3"/>
  <c r="O40" i="3"/>
  <c r="O66" i="3"/>
  <c r="O64" i="3"/>
  <c r="O62" i="3"/>
  <c r="O46" i="3"/>
  <c r="O45" i="3"/>
  <c r="O44" i="3"/>
  <c r="O25" i="3"/>
  <c r="O63" i="3"/>
  <c r="O38" i="3"/>
  <c r="O30" i="3"/>
  <c r="O27" i="3"/>
  <c r="O34" i="3"/>
  <c r="O33" i="3"/>
  <c r="O32" i="3"/>
  <c r="O29" i="3"/>
  <c r="O28" i="3"/>
  <c r="O26" i="3"/>
  <c r="O76" i="3"/>
  <c r="O75" i="3"/>
  <c r="O23" i="3"/>
  <c r="O15" i="3"/>
  <c r="O7" i="3"/>
  <c r="O71" i="3"/>
  <c r="O77" i="3"/>
  <c r="O41" i="3"/>
  <c r="O17" i="3"/>
  <c r="O13" i="3"/>
  <c r="O74" i="3"/>
  <c r="O43" i="3"/>
  <c r="O42" i="3"/>
  <c r="O36" i="3"/>
  <c r="O24" i="3"/>
  <c r="O18" i="3"/>
  <c r="O14" i="3"/>
  <c r="O12" i="3"/>
  <c r="O11" i="3"/>
  <c r="O6" i="3"/>
  <c r="O2" i="3"/>
  <c r="O22" i="3"/>
  <c r="O21" i="3"/>
  <c r="O20" i="3"/>
  <c r="O19" i="3"/>
  <c r="O16" i="3"/>
  <c r="O10" i="3"/>
  <c r="O9" i="3"/>
  <c r="O4" i="3"/>
  <c r="O73" i="3"/>
  <c r="O72" i="3"/>
  <c r="O37" i="3"/>
  <c r="O61" i="3"/>
  <c r="O8" i="3"/>
  <c r="O5" i="3"/>
  <c r="O3" i="3"/>
  <c r="K23" i="3" l="1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" i="3"/>
  <c r="H101" i="3" l="1"/>
  <c r="I101" i="3"/>
  <c r="H52" i="3" l="1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51" i="3" l="1"/>
  <c r="I51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3" i="3" l="1"/>
  <c r="I4" i="3"/>
  <c r="I3" i="3"/>
  <c r="I5" i="3"/>
  <c r="I6" i="3"/>
  <c r="I7" i="3"/>
  <c r="I2" i="3"/>
  <c r="H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JelleWho</author>
  </authors>
  <commentList>
    <comment ref="H1" authorId="0" shapeId="0" xr:uid="{0EB4D389-331B-470E-86FE-67DB6F99619A}">
      <text>
        <r>
          <rPr>
            <b/>
            <sz val="9"/>
            <color indexed="81"/>
            <rFont val="Tahoma"/>
            <family val="2"/>
          </rPr>
          <t>JelleWho:</t>
        </r>
        <r>
          <rPr>
            <sz val="9"/>
            <color indexed="81"/>
            <rFont val="Tahoma"/>
            <family val="2"/>
          </rPr>
          <t xml:space="preserve">
Steps taken isnt the same length as the total amount of steps.
Doesnt work since excel shortens the number</t>
        </r>
      </text>
    </comment>
  </commentList>
</comments>
</file>

<file path=xl/sharedStrings.xml><?xml version="1.0" encoding="utf-8"?>
<sst xmlns="http://schemas.openxmlformats.org/spreadsheetml/2006/main" count="1725" uniqueCount="402">
  <si>
    <t>Check 1</t>
  </si>
  <si>
    <t>True</t>
  </si>
  <si>
    <t>ThinkingTime</t>
  </si>
  <si>
    <t>Myrecord</t>
  </si>
  <si>
    <t>SortNewData</t>
  </si>
  <si>
    <t>Execute when you after you've input NEW data</t>
  </si>
  <si>
    <t>put in record</t>
  </si>
  <si>
    <t>average steps</t>
  </si>
  <si>
    <t>average animation time</t>
  </si>
  <si>
    <t>average time spend</t>
  </si>
  <si>
    <t>average ThinkingTime</t>
  </si>
  <si>
    <t>Better matched or worse</t>
  </si>
  <si>
    <t>DDAAAADAACCBDADBCBDDDADBBACCCCBBBBCCADBDAAAADAACCBDADBCBDDDADBCCCCBBBCCADBDAAADAACCBDADBCBDDD</t>
  </si>
  <si>
    <t>DBBBCBBBDAAAAABBBBDDBCBCAACAADAACAADBBBAAAADDBCACBBBAADDBCACB</t>
  </si>
  <si>
    <t>DADDAADAACCBCCACBDDDACCDDDDBBCBBCCAABBDDAADAACCBCC</t>
  </si>
  <si>
    <t>AAACAADDDBBCCBCADBBBCAADADDBCCDDAAACBDBC</t>
  </si>
  <si>
    <t>ACCCCBBAADDDCBCCBCAADDDDDBCCCACCBBDACADDDCCCBBBBDAAACADAACBB</t>
  </si>
  <si>
    <t>BDABDDACCBCCAAADDBBAACCBBBDDADBCCCADCAADDBBDBCDDBBCA</t>
  </si>
  <si>
    <t xml:space="preserve"> </t>
  </si>
  <si>
    <t>aBccDbbADd</t>
  </si>
  <si>
    <t>ADDDbdACCCCBBDDBDaCCCAADDbdACCCBBDdBDaCCCAd</t>
  </si>
  <si>
    <t>CCCBBBdaDacBCBBBDaDacACbbDAAAACbbbAAADADDBcACbDBcACbbDBDaaCAADDBcACbDBcACbDBBBBBDaaaaaCAADDBcACbDBc</t>
  </si>
  <si>
    <t>change sheet number</t>
  </si>
  <si>
    <t>CCCbdBBCaDAACCCBBddBDaCCCBBBDDaaDAcBBBCCAd</t>
  </si>
  <si>
    <t>BCCCAADdCCBBDDaDacBBCCAAAADDbADb</t>
  </si>
  <si>
    <t>CCbADDBcBBCCAadCBBDaaBDa</t>
  </si>
  <si>
    <t>Ik telefoon</t>
  </si>
  <si>
    <t>AACCCDbACbCBBDadAACb</t>
  </si>
  <si>
    <t>BDDaaaCAADbbbbDBcccAdBDaaaCAADbbbbCCCCBdd</t>
  </si>
  <si>
    <t>BDaaaDDDBBCcccDAACAADbbbADDDBBCCBCCAdddCBCCCCAdddd</t>
  </si>
  <si>
    <t>DDaaaaDAACCBdADbCBdddADbbACCCCBBBBCCAdBDaaaaDAACCBdADbCBdddADbCCCCBBBCCAdBDaaaDAACCBdADbCBddd</t>
  </si>
  <si>
    <t>DddAADDBbcBBCCCCaaaaBBBBDDDDAAcccDDDBBCCCCAaCAdBDaaBBDDAADbDBccccDDDBBCCCCAaCAdBDaBDDDDDBcACCCCCBBDDDDaDAccccDDDBBCCCCAaa</t>
  </si>
  <si>
    <t>DaDaDAAccDDBBCacAdBBBCaaBBBBDaaaa</t>
  </si>
  <si>
    <t>DaDDAADAAccBCcACbDDDAccDDDDBBCBBCCaaBBDDAADAACCBcc</t>
  </si>
  <si>
    <t>DBBBBCBBDaaaaaBBBBDDBcBCaaCAADAACAAdbbbAAAADDBBcDAACCBbbADDAcACbb</t>
  </si>
  <si>
    <t>CBBddbbAACCAADDbADDBcACCCBBBDDDacBCCAAADDbbDBcAAADbbAACCCBBdbbAACAADDBbb</t>
  </si>
  <si>
    <t>aBccDbbADABABABd</t>
  </si>
  <si>
    <t>ACCBBdBdaDbCCACAADDbACCBBDBDDAcAACCBBCBBDBDDDaa</t>
  </si>
  <si>
    <t>BAcbbAAcDBDdCAa</t>
  </si>
  <si>
    <t>ABDDaaaaDAACCBdADbCBdddADbbACCCCBBBBCCAdBDaaaaDAACCBdADbCBdddADbCCCCBBBBCCAAdBDaaaDAACCBdADbCBddd</t>
  </si>
  <si>
    <t>False</t>
  </si>
  <si>
    <t>DddAADDBbccccDDDBBCCCCDDDDAACDBACCDDCAdBCCCACCBddddA</t>
  </si>
  <si>
    <t>DddAADDBbcBBCCCCaaaaBBBBDDDDAAcccDDDBBCCCCAaCAdBDaaBBDDAADbDBccccDDDBBCCCCAaaBDDDDDDBcACCCCCCDBBDDDDaDAccccDDDBBCCCCAaCAdBDa</t>
  </si>
  <si>
    <t>DBDCAaDaDAAccDDBBCacDBBCaaBBBBDaaaCAdBDa</t>
  </si>
  <si>
    <t>DaDDAADAAcccc</t>
  </si>
  <si>
    <t>CBBBCbCBdCAcACbbADABDDCCAaDAcDCBBBDBDAADAAACACCCCBBBCBBBBDd</t>
  </si>
  <si>
    <t>CBBBCbCBdCAcACbDAaDAcBBBDDADAAACACCCCBBBCBBBBDDC</t>
  </si>
  <si>
    <t>CBBBCbCBdCDdCACcACbbAADaDAcBBBDD</t>
  </si>
  <si>
    <t>CBBBCbCBdCAcACb</t>
  </si>
  <si>
    <t>CBBBCbCBddCACcACbADaDAcBBBDDADAAACACCCCBBBCBBBBDDDBDDDDAaCCCACACBbADDDADAAACACCCCBBBCBBBBDdAAADAAcDBBBDDADAAACACCCCBbDDDBdBDaaBBCACACCCAADDDDBdddADDBcccc</t>
  </si>
  <si>
    <t>BAAdADDBBcDAACCBCBBDBBCBBBDaDDBcACCAADA</t>
  </si>
  <si>
    <t>AdBBBBCBBBDaaaaaBBBBDDBcBCaaCAADAACAADbbbAAAADDBBcDAACCBbbADDAcACbb</t>
  </si>
  <si>
    <t>DDbbCbbAADAACDBBCcBCaD</t>
  </si>
  <si>
    <t>CBADDDDCbbCbbACCAd</t>
  </si>
  <si>
    <t>CBBBDdABCCAAADDbbbbACCAdCAADDBbbAAADDBcACbDBccDAACCB</t>
  </si>
  <si>
    <t>CBBBDBD</t>
  </si>
  <si>
    <t>DDbbCbb</t>
  </si>
  <si>
    <t>DbADDBcBBc</t>
  </si>
  <si>
    <t>DDbbCbbAADAACbbbCCAdCAADDBbDC</t>
  </si>
  <si>
    <t>DDDBACbbC</t>
  </si>
  <si>
    <t>CBBBDCAAADDDCDbbCbbAADAACbbbAA</t>
  </si>
  <si>
    <t>CBBBDd</t>
  </si>
  <si>
    <t>DCCBBBDCAAACBDACBDACBDACBDACBDACBDACBDACBDACBDACBDACBDACBDACBDACDDDDCDCCDDCDCDCDCDCDCDCDCDCDCDCDCDCDCDDCCCDDCDDCCDDCDCCDCDCDCDCDCDDCDCDCDCDCCCCBBACDCADDDbADbbACAC</t>
  </si>
  <si>
    <t>DCCBBBDdCCAAADDbbbbACCAddAADDBcACbbb</t>
  </si>
  <si>
    <t>DDbbCbABbAADAACbbb</t>
  </si>
  <si>
    <t>CBBdCDdbbCACAAADDbbbAAADDBcACbACCBBBDDDaBCCCAAADDBbDBcACbbAADAADbb</t>
  </si>
  <si>
    <t>CCBdBbbbAADbbAA</t>
  </si>
  <si>
    <t>BbCbbbAAADCBBBDDAcaCA</t>
  </si>
  <si>
    <t>BbCbbbAAADAACbbbbdaaCAADDDBBBcbADAAACCCBBDbbbAACAAADbbbb</t>
  </si>
  <si>
    <t>CaaaDAADDBcDBccbCBBABDaa</t>
  </si>
  <si>
    <t>CaaaDAADDBBccc</t>
  </si>
  <si>
    <t>CDAaaCAADDDBBBAccDDAACCCBCBdBDBBCaaaBD</t>
  </si>
  <si>
    <t>CaaaDAADDBBca</t>
  </si>
  <si>
    <t>CaaaDAACbbbAAADDDBBccAADDBcc</t>
  </si>
  <si>
    <t>CDAaCAAD</t>
  </si>
  <si>
    <t>CaaaBBDCAADAADDBcDBccbCBBDaa</t>
  </si>
  <si>
    <t>CaaaDAADDBBBAccDDCCbCBBDaaaDDBccDDAAACbDBc</t>
  </si>
  <si>
    <t>BBCBCCAdAdbDaaDAACCBdBBBC</t>
  </si>
  <si>
    <t>BBCBCCAd</t>
  </si>
  <si>
    <t>BBCBCCAdd</t>
  </si>
  <si>
    <t>BBCBCCAdAdCBBDaDaaDAACCBdBBBCCAdBDaaDDDAACCbACCBd</t>
  </si>
  <si>
    <t>ACCCCbbAADDBcACCBBDaaDDDDBccccACAADbCBdddCCBBCBBDaaaaCAADbCBd</t>
  </si>
  <si>
    <t>BDaBDDAccBCCAAADDbbDBcAAACCBBdCAADCBBBBDaCAAADDBbAACCBBBDdABCCAdCAADDBbDbcDDBBCa</t>
  </si>
  <si>
    <t>DAACaDBBBCCACAAdAdADbbcBddBDaCCBBCCACAAddADb</t>
  </si>
  <si>
    <t>DAACaDBBBCCACAAdd</t>
  </si>
  <si>
    <t>DAACaDBBBCCACAAdAdADbbcBdddBDCCCBCCACAAddADbCBADbDDADDBcBCDAACbDBcACCACCCBBDBDDaBCCACAADDBdddBDaDAcBCCCBd</t>
  </si>
  <si>
    <t>BBCaBCCAddBDaaDDACACbCb</t>
  </si>
  <si>
    <t>BBCaBCCAddBDaaaCbD</t>
  </si>
  <si>
    <t>BBCaBCCAddBDaaDAACbbAC</t>
  </si>
  <si>
    <t>BBCaBCCAddBDaaDAACbCbdBBCCAdBDaCAADDCbADDBACCCBBBD</t>
  </si>
  <si>
    <t>BBCaBCCAddBDaaDAACbCbdBBCCAdBDaadCCAdBDa</t>
  </si>
  <si>
    <t>BBCaBCCAddBDaaDAACbCbdBBCCAd</t>
  </si>
  <si>
    <t>BBCaBCCAddBDaaDAACbCbdBcAADDDBcACbCBBDaaCAdBDaCBBBCCCAddBDaaCAd</t>
  </si>
  <si>
    <t>DddAAADADDBBccBCBBDaaaDDAACCbCbbDBccDAAADADDBBCcACbbDBc</t>
  </si>
  <si>
    <t>BBAACCCBABABABABAB</t>
  </si>
  <si>
    <t>CCCBADDDBBccDDBBCCaBDDAAAACCCBbddCBBDDAaBACCCCBdADDDBBCCa</t>
  </si>
  <si>
    <t>CABDDAccAAAD</t>
  </si>
  <si>
    <t>CAdCAAADDBcbAAC</t>
  </si>
  <si>
    <t>CAdCAAADDBcACbDb</t>
  </si>
  <si>
    <t>DAccDCAAADDBcbCBdAABBBCCCDCAddBDaa</t>
  </si>
  <si>
    <t>DAccAAADDBcbCBdAAACbDBBBDDAcBCaaBBCCCAdd</t>
  </si>
  <si>
    <t>AAcbCCAddBDBBCa</t>
  </si>
  <si>
    <t>AA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DC</t>
  </si>
  <si>
    <t>AAcbCCAddBDBBAADABCBBCaDAcACCBBdCAADbDDDAcBBBCa</t>
  </si>
  <si>
    <t>AAcbCCAddBDBBCaDAcACCBBdCAADDBDBBCaCDDADAcBBCCCAADbCBd</t>
  </si>
  <si>
    <t>CBBBDDAcaCAAADDDBBCcDDAACCCBbDBBBCCAddAACbAAADbADDBBCcBCaDBBBCaDBDDAcc</t>
  </si>
  <si>
    <t>CCAABBDDDAAAAABcDBBBBCCCAADda</t>
  </si>
  <si>
    <t>DAAAAcDBBca</t>
  </si>
  <si>
    <t>DAAAAcDBBBBCCCAADdaDCBCCBBDDDAaa</t>
  </si>
  <si>
    <t>DAAAAcDBBBBCCCAADdCCBBDDDAaaaCbDBcDBBCaDAACAACCBdADADbbb</t>
  </si>
  <si>
    <t>CCBccDAABBDdCCCBCCAdddAACbDBcADDDBcACCBBDaCAdBDCCDDDADDBACCBCCBCCCAdBDaDDDADDBcccccDAdCBBCCCAddBDa</t>
  </si>
  <si>
    <t>CCBccDDdCCCBCCAdddAACbDBcADDDBcACCBBDaCAdBBCCCAdBDaDDDADDBcccccDAACDBdCABBBCCCAdddADdCCACbDDCBcADDDBcACCBBDaCAdBDDDDAcBCCCCBCCAddBDa</t>
  </si>
  <si>
    <t>DBdADbACCCCBdddCCCB</t>
  </si>
  <si>
    <t>DDCBdAD</t>
  </si>
  <si>
    <t>DDDDCCCDDBcDBBCa</t>
  </si>
  <si>
    <t>DCCBADDBdACCCBdACBBBDaaCAADDBDBcDADDBccDBBCaDAACCACCBdbAddbDDAcccACbDDDBBBCaaDA</t>
  </si>
  <si>
    <t>DDCBcAD</t>
  </si>
  <si>
    <t>DCDCCBdA</t>
  </si>
  <si>
    <t>DBdACCCBdADCCBBBDaadADDbcc</t>
  </si>
  <si>
    <t>Tom</t>
  </si>
  <si>
    <t>crc</t>
  </si>
  <si>
    <t>DddAADDBbcBBCCCCaaaaBBBBDDDDAAcccDDDBBCCCCAaaBDDDDDAACbDBccccDDDBBCCCCAaCAdBDaaBBDDDDDBcACCCCCBBDDDDaDAccccDDDBBCCCCAaCAdBDa</t>
  </si>
  <si>
    <t>ccDbbADdCAa</t>
  </si>
  <si>
    <t>AABBDDaaaaDAACCBdADbCBdddADbbAACBCCCBBBBCCAdBDaaaaDAACCBdADbCBdddADbCCCCBBBCCAdBDaaaDAACCBdADbCBddd</t>
  </si>
  <si>
    <t>DddAADDBcACDDBbcBBCCCCaaaaBBBBDDDDAAcccDDDBBCCCCAaaBDDDDAACbDBcccDDDBBCCCCAaCAdBDaaBBDDDDDBcAACCBCCCBBDDDDaDAccccDDDBBCCCCAaCAdBDa</t>
  </si>
  <si>
    <t>DaDaDAAccDDBBCacDDCBBCaBBBDaaCAaBBDaCAdBDa</t>
  </si>
  <si>
    <t>ABABDaaBDDAADAAccBCcACbDDDAccDDDDBBCBBCCAaBBDDAADAACCBcc</t>
  </si>
  <si>
    <t>CBBAACACCCCBBDDDBACDBdBDaaBBCcBBDDDADAAAACcBBCCACCCBCBBBBDD</t>
  </si>
  <si>
    <t>CBBBCcAdBDaaBCCACCCAADDDDBdddCCBBBCbCBddCAAACACCCBCBBBBDDDBDDDDAaCCCAAAACCCBCBBBBDDAAAdCBBBCCAAAADADDDBDBBCcACbbADDDAACACCCBCBBBBDdAAADaDAccDDBDDAACACCCCBbAADDDDBDDDADDBcccc</t>
  </si>
  <si>
    <t>DBBBCDC</t>
  </si>
  <si>
    <t>BDBBCBBBDaDDBcACCAADAAACAdABBBBBABCBBDaaaaBBBBDBBCaaCAADAACAADbbbAAAADDBcACbbbAAADDBBcACb</t>
  </si>
  <si>
    <t>CBBBDdADCBCCAAADDbbbbACCAdCAADDBbbAAADDBcACbDBc</t>
  </si>
  <si>
    <t>CBBBDdCCAAADDbbbbAABCCAd</t>
  </si>
  <si>
    <t>CBBBDBDa</t>
  </si>
  <si>
    <t>CBBBDCAddbbACCAAADDbbbAAADDBcACbb</t>
  </si>
  <si>
    <t>DDbbCbbAADAACbbbAcBCaDDAACCbbD</t>
  </si>
  <si>
    <t>CBBBDCABDCAAADDDCCCBBddbbACCDAD</t>
  </si>
  <si>
    <t>Jesper</t>
  </si>
  <si>
    <t/>
  </si>
  <si>
    <t>DbbbDBcAAAACCBdADbbbCCBBDadAAAADDBcACbbb</t>
  </si>
  <si>
    <t>DbbbDBcAAAADDBcACbbbCCBBDadADDBccBCCAAddAAACCBdADbbbCCBBDDaaaaBBBDDAcBCaaBBBCCAdBDaa</t>
  </si>
  <si>
    <t>DdCBBDa</t>
  </si>
  <si>
    <t>DdCAADbDCCBBda</t>
  </si>
  <si>
    <t>BDdCAAA</t>
  </si>
  <si>
    <t>DdCAADb</t>
  </si>
  <si>
    <t>BDdCAABd</t>
  </si>
  <si>
    <t>BDdCAABdCAADbb</t>
  </si>
  <si>
    <t>BDdCAAdb</t>
  </si>
  <si>
    <t>DdCAADbDbcACA</t>
  </si>
  <si>
    <t>DdCAADbDbcACCBBDBDaaDAcBDDBcc</t>
  </si>
  <si>
    <t>DDBdADDbDBBcBCCaaaBBBDDADAACcAccccccBCCCAADDbACCBBDddADDDDDDDBDBBCBCCAAaDAccccccBCCCAADDbDBccDAACCBbbADDADDDDDDDDBDBBCcBCaaaDAccccccBCCCAADDbDBccDAACCBCBBBdACAADbbADDDADDDDDDDBbDBccBCaaaDAccccccBCCCAADDbDBccDAACCBCBBDaDDDADDBcccccBCaBBBDaCAADDDBBccBCa</t>
  </si>
  <si>
    <t>Level</t>
  </si>
  <si>
    <t>Made it</t>
  </si>
  <si>
    <t>Steps</t>
  </si>
  <si>
    <t>Animation time</t>
  </si>
  <si>
    <t>Time spend</t>
  </si>
  <si>
    <t>Steps taken</t>
  </si>
  <si>
    <t>Ik tablet</t>
  </si>
  <si>
    <t>AAADADDBccAcbbbAACCAdddBDDAACbCCBBBDBBCaaaaCA</t>
  </si>
  <si>
    <t>AAADADDBccAcbbbAACCAdddBDDAACbDCCCBBB</t>
  </si>
  <si>
    <t>AAADADDBccAcbbbAACCAdddBDDAACbDBc</t>
  </si>
  <si>
    <t>AAADADDBccAcbCCAdddBDDAACbCBCbbDBBCaaaaDAcDDDBccACbCCAdddBDDAACbCCBbbDBBCaaaaCABDDADDBccAcbbbAACCAddBAdBDDAACbCCBBBDBBCaaaaDAcDDDBcACCBCCAdd</t>
  </si>
  <si>
    <t>AAADADDBccAcbCCAdddCBbbDBBCaaaaCAdBDDDAACbDBcccAdBDaCCCCBddd</t>
  </si>
  <si>
    <t>bAadCBBdaDaBCCBcDAAcbCbdAAACbDBDDDAcAccBBDaBDBBDaCACCBBddAACb</t>
  </si>
  <si>
    <t>BBAACaaCaaDCDDbcACbDBBBDBBCCCCCAAAAADddADbbbAACCCCBBBBBDDDDDAAccDAAACCBdADbbAACCCCBBBBBDDDDDAAcAAADDBcACbb</t>
  </si>
  <si>
    <t>adddCCAcccDDBBCacAACCBBddddddCCAcBCCCAADbCBdddddCCCCAADbCBddd</t>
  </si>
  <si>
    <t>crc check</t>
  </si>
  <si>
    <t>CACCBBCbCBBDDDAAccDDBBCaaaaa</t>
  </si>
  <si>
    <t>CACCBBCbCBBDDDAAccDDBBCaDAcAAADDBDDAcccACbbbbDBBCaaaaaBBBBBCCAdBDaaaaBCbDBBCCAdBDaaaBBCCCAddBDa</t>
  </si>
  <si>
    <t>BBBBcDAAAACCBBdbDaaBCCAADADDBccccBCBdddBDaaBCCAACACbDBcDDADADDBcccBCCAADbCBdBDDBDBBCaaDAAACCCBBDdBDaaBCCCAADDADDBcccDDBBCCCCAAADbCBBDDDBBBCCAddBDaaaaBCCCCAADDDADDBccccACb</t>
  </si>
  <si>
    <t>BBDDAaBBCCAAddCAdC</t>
  </si>
  <si>
    <t>BBDDAa</t>
  </si>
  <si>
    <t>BBDDAac</t>
  </si>
  <si>
    <t>BBDDADA</t>
  </si>
  <si>
    <t>BBDDAaDAcBBBCCAAddADDAACCbbbCCBBDDaDacBBCCAAddAACbDBBBCCAAd</t>
  </si>
  <si>
    <t>Tires won</t>
  </si>
  <si>
    <t>Tries failed</t>
  </si>
  <si>
    <t>BAcDCbDdCACcDDaBBCb</t>
  </si>
  <si>
    <t>ABDDaaaaDAACCBdADbCBdddADbbACCCCBBBBCCAdBDaaaaDAACCBdADbCBdddADbCCCCBBBCCAdBDaaaDAACCBdADbCBddd</t>
  </si>
  <si>
    <t>DCDddAADDBbcDDBcAC</t>
  </si>
  <si>
    <t>57,14cDCc</t>
  </si>
  <si>
    <t>66,3DDDDCDCCDBACCDDAACbDBccDbACD</t>
  </si>
  <si>
    <t>bADddAdbbDDAccccDADADbCBBDDAccc</t>
  </si>
  <si>
    <t>AAADBBBddAADDBcACbDbcADBbDDAcACCBccABDCcAC</t>
  </si>
  <si>
    <t>DddAADDBbDCcBBCCCCaaaaBBBBDDDDAAcccDDDBBCCCCAaaDBDDDDDBcACCCCCBBDDDDaDAccccDDDDBCBCCCCAaCAdBDaaBBDDAADbDBccccDDDDDBCCBCCCCAaCAdBDa</t>
  </si>
  <si>
    <t>DBAaDaDAAccDDBBCDABCacDBBCaaBBBBDaaaCAdBDa</t>
  </si>
  <si>
    <t>ABDaaaacACbDDDA</t>
  </si>
  <si>
    <t>DaaaBBDDAADAAccccDbc</t>
  </si>
  <si>
    <t>ABDaaaBBDDAADAAcDBBCBBCDCCAAacACbDDDC</t>
  </si>
  <si>
    <t>DaaBDD</t>
  </si>
  <si>
    <t>ABDaDDAADAAccBCcACbDDDAccDDDDBBCBBCCaaBBDDAADAACCBcc</t>
  </si>
  <si>
    <t>DBBBBCBCCCAaDbCBddCCAACCBBBDBDDDDAaBBCCCCACAAADDBcACbbADDADDAAACACCCCBBBCBBBBDdCCAAAADADDDbACCCAADDDDBDBBBCBCCAaDAccDBBBDDADAAACACCCCBbAADDDCCCBBDDDBdBDaC</t>
  </si>
  <si>
    <t>CBBBCcAdBDaaBCCBBBDDDADAAAACcBBCCBBBDDDBBCCCCACAAAdCBADdADDBcbCBddCCADCaCCBBBDBDDDDAaBBCCCCACAAADDBcACbbAADDDDCCCadAccDDBBCBAAACDD</t>
  </si>
  <si>
    <t>DBBBBCBCDBACCCAcACbbAADdAACCCBCBBBBDdAAADaDAccDBBBAAABBBDAdbA</t>
  </si>
  <si>
    <t>CBBBCcAdBDaCBbCBdd</t>
  </si>
  <si>
    <t>CBBBCc</t>
  </si>
  <si>
    <t>CBBBCDCDAcBcaBBcDADDAAABBCBbCBddC</t>
  </si>
  <si>
    <t>CCDBBBCbCcAaBBDDCCAADdBDaCCAcBBCbADBDDCBdAADAaBCBBCCCbADDBDdCAABCCAAAc</t>
  </si>
  <si>
    <t>CBBcBcaBDbCBddCCAAADDAADDBBBBC</t>
  </si>
  <si>
    <t>CCACCCCBBDDDCbDbDb</t>
  </si>
  <si>
    <t>CCACCCCBBDDDBbAACCCAADDDDBDDDBBBBCBCCCaaBBDaCAad</t>
  </si>
  <si>
    <t>DBBBBCBBBAACCCAcACbbAADaDCBBDBDDDADAAAACCCACCCCBBBCBBBBDdAAADADAccDBBBDBDDDADAAAACCCACCCCBbDDBACCAADDDDBDBBBCbCBdACCAADdBDaaBCCCAB</t>
  </si>
  <si>
    <t>DCCCACCCCBBDDDBdBDaaBCCACCCAADDDDBdddADDBccccBABBBCbCBddCAAACACCCBCBBBBDDDBDDDDAaCCACcDCACbbADDBDDDBBCCCDDDAACCAAABBCCAdAACbbCBdAABADDDBcBcDAcBcaaBDADBBBDDBBCCCCAcABDBDDDDAACCCACACbb</t>
  </si>
  <si>
    <t>CBBBCbCBddCAADAAACACCCCBBBCBBBBDDDBDDDDAaCCABAAcAdBDaaBBCACACCCAADDDDBdddCCBBBCBCAAACCCBCBBBBDDAAAdCBBBCCAAAADADDDBDBBCcACbbAABDDDAACACCCBCBBBBDdAADAaDAccDDBDDAACACCCCBbAADDDDBDDDADDBcccc</t>
  </si>
  <si>
    <t>DBBBCBBAADAAAdCBBBAAADAACbbbbbCDCBBBABDBDC</t>
  </si>
  <si>
    <t>ABDdA</t>
  </si>
  <si>
    <t>DBBBCBBd</t>
  </si>
  <si>
    <t>BDBBBCBBDaaaaBBBDDBcBCaaCAADAaCAAdbbbAAAADDBBcDAACCBbbAAADDBcACbb</t>
  </si>
  <si>
    <t>CDDCCDCBBBDdCDAaBBCCABDDAABD</t>
  </si>
  <si>
    <t>CBADDDbbCbbAADABCBCDCCDDCCAAADDbbbCCDDCCAdBDaDAACbDBcBCCAdBDaDAACbDBcBCCAABdCA</t>
  </si>
  <si>
    <t>CBADDbdBBcacbbADDAAACCCBbD</t>
  </si>
  <si>
    <t>DDbbCbC</t>
  </si>
  <si>
    <t>CBBdCAADDDbbcbADAACDBBCBbAADC</t>
  </si>
  <si>
    <t>DDCCCBBddbbACCAAADDDCbABbbAAADDBcACbACCBBDBDDaBCCACAADDBbDBcACbbAADAADbb</t>
  </si>
  <si>
    <t>DDBBAACCBbCbbb</t>
  </si>
  <si>
    <t>DDBBBcBBCCAdCD</t>
  </si>
  <si>
    <t>DDBBAACCBbCbbbAAADCBBAABBdaCDCBAAaDADDBBBcbCCAA</t>
  </si>
  <si>
    <t xml:space="preserve">Tyrone Faulhaber </t>
  </si>
  <si>
    <t>CBdCBBDaaCAA</t>
  </si>
  <si>
    <t>DBdACCCBdCBBDaaCAADDBDBcDADDBccACACCBdbAddBDDAcccDBcDDBBCaDAACCBdADbCCAACCBBdddCAACb</t>
  </si>
  <si>
    <t>CBdBBDBBCaaaaBBDBDDADDBccccDDDAAACAADbbbbCBCCACAACAdddCCBBBDBDDADAAAACbCCCBBBDBBCaaaaCAddddCCCBBBBDDDADDBccccACAAADDDADbbbAACCCCBBBDBDDDDAcBCCCBCaaaaCAddddADbbbbDBcccDDAAAACCCCBBBBBDa</t>
  </si>
  <si>
    <t>ddADbbAADDDBBBCaaDAcccACbDBcBBBDaaaCAdBCccBCaBccBCaaBBCCCAADbCBdddBDaCAdAAACbbbDBcADddBDaCAdAACbbDBc</t>
  </si>
  <si>
    <t>CCCCAAAADDBcACbbbCBdddddddAAADDBcADDDBcBBCcccccccBCaaaa</t>
  </si>
  <si>
    <t>CCCCAAAACCBdADbbbCBdddddddAAADDBcADDDBcBBCccDDDAAACCBdACCCBdBBcccccBCaaaadAcDDDBccACbbbCBdddddddAAADDBcADDDBcBBCcccccccBCaa</t>
  </si>
  <si>
    <t>CCCCAAAACCBdADbbbCBdddddddAAADDBcADDDBcBBCccDDDAAACCBdACCCBdBBcccccBCaaaadAcDDDBccACbCCAdddCBbbCBdddddddAAADDBcADDDBcBBCcccccccBCaaaaDAcBDDDAc</t>
  </si>
  <si>
    <t>ACbDBBCCCAAddADbCCCBBDDaBCCAADdCCBBCCAdBDDDAACCAACCBdbDDDBBCCaBCCAdBDDDAAADDBcACb</t>
  </si>
  <si>
    <t>BcDAACCBbDBBCCCCAADddbDBcccBCaDDDAAAADDBBcDAACCBbbDBcccDDAAAADDBcACbbbDBcc</t>
  </si>
  <si>
    <t>ACcACbbbdBBCaaaaDDDBBccDDAACCAADbCBCBbDBBCaaDDDAAcAACCCBdBdbbDDAAcAcbAACCBdADbDBDBBCCCaaBBDDDAACAACCCBdBBBBBDa</t>
  </si>
  <si>
    <t>BCCaaBBDDAAcAAACCBdCBdbAAADDBccBBDaBDBBCCaaa</t>
  </si>
  <si>
    <t>DBBCaBCCaBDDAcDDAACbDBBCCAdBDaCCBCCAdBDDAAADb</t>
  </si>
  <si>
    <t>DBBCaBCCadBDDAAAAACCBCBbAADADDBBBBBCCAdBCCCAdAAADADDBBCbADAACCBCBBBBDDDaaaBBBCaBCCA</t>
  </si>
  <si>
    <t>ACCBBdBdaDbCACCAADDbACCBBDBDDAcAACCBBCBBDBDDDaa</t>
  </si>
  <si>
    <t>DDDBBBCCAdBDaa</t>
  </si>
  <si>
    <t>DDDBBBCCAddAACCCCBBdddBDaaBCCCCAADDDdddADDBccccccDDBBBDDAcBCaaBCCCCAAADDBDdCCACCBdd</t>
  </si>
  <si>
    <t>DAAacDBBBCCCAAAADbbADDBDaDAACCbADDBBCccDBBBCCCAADaCBBBDaCAADDDDDAACbDBccc</t>
  </si>
  <si>
    <t>CAAAdCBBBDDDAACaaaCAddCBBBCCBdCBBDaaCAdBBBDDAAcaaaCAADDBcADDDBcACCBBBBCCBBDaCAdBDaaa</t>
  </si>
  <si>
    <t>CCBCaaBCCAddBDDDDDAAACCCCCbbCBddCAAADDDDDBBBCCACcDDBDDAAACCCCCBbDBdddCACCCCBdddd</t>
  </si>
  <si>
    <t>DAACCCBbdBcACCBBDaCAddBDaCAADDDBBc</t>
  </si>
  <si>
    <t>CCbdBBCCAaBdAADDDBccACbCBBDaaBBDaa</t>
  </si>
  <si>
    <t>CCbdBBCCAaDDADDBcACCBCBBDaaBDa</t>
  </si>
  <si>
    <t>CCbdBBCaaBCaDDADDBccBCCAdBDa</t>
  </si>
  <si>
    <t>AcDBBCC</t>
  </si>
  <si>
    <t>ADADDBcDBBCacDDAACCbCbdAADDBccDDBBCaDAc</t>
  </si>
  <si>
    <t>AcccBCaaCAdBBDDDDAACbDBcccBCaDAaCCBdADCBBDDDDBBCaDAccc</t>
  </si>
  <si>
    <t>AcccBCaaCAdBDaBBDDDAACbDBcccBCaDDDDBBCaDAcccAACCBdbAADbCBdddCCCAAAADbbbCBddCBBCaaDAACCBdADbCBd</t>
  </si>
  <si>
    <t>DbbbDBcAAAACCBdADbbbCCBBDDaBCCAADdAAADDBcACbbbCCBBDDaaaaBBBDDAcBCaaBCCBdBDaa</t>
  </si>
  <si>
    <t>DdCAADbDbcACCBBDaDAACbCBBDBDaaDAcBDDBcc</t>
  </si>
  <si>
    <t>BCCaaBBDDAAcAAACCBBdbAC</t>
  </si>
  <si>
    <t>BCCaaBBDDAAcAAACCBBdCAADDBcBbDaBDBBCCaaa</t>
  </si>
  <si>
    <t>DBBCaBCCadBDDAAAAACCBCBbAADADDBBBBBCCAdBCCCAdBDDDaBCCCAAAADADDBBCbADAACCBCBBBBDDDAaBB</t>
  </si>
  <si>
    <t>DBBCaBCCadBDDAAAAACCBCBbAADADDBBBBBCCAdBCCCAdBDDDaaaBBBACcDDAACbDBBCCAdBDaBCCCCAdddCCAAADADDb</t>
  </si>
  <si>
    <t>DBBBBCCCAADdaDbbACCCBBBDDDDAccDAAAAACbbDBBBBCCCAAADdADbbACCCBBBDDAcBDDDAc</t>
  </si>
  <si>
    <t>BDDaccDDaaCAADbbbbDBcACCBCCAddd</t>
  </si>
  <si>
    <t>BDaaaDDDBBCcccDAACAADbbbADDDBBCCBCCAdddCCBCCCAdddd</t>
  </si>
  <si>
    <t>AACCbACbCBBDadAACb</t>
  </si>
  <si>
    <t>ADDDBBCacACbbbAADDDAccBCBBCBddCAAADAACbbbbDBcAAADDDBBBc</t>
  </si>
  <si>
    <t>ADDDBBCacACbbbCBddCAAADDDAccACbbbbDBcAAADDDBBBc</t>
  </si>
  <si>
    <t>DBBCCBdADAAACCbbADDBBCBCCAdAADDBBDBccDAAACCBBdBDaaBCCCBd</t>
  </si>
  <si>
    <t>BCCaaCAADDBcBBBDDAcBCaaaBCCAADdBBCa</t>
  </si>
  <si>
    <t>CCbdBBCaCaBDaD</t>
  </si>
  <si>
    <t>cbDdCCbAAcDDa</t>
  </si>
  <si>
    <t>DDaaaaDAACCBdADbCBdddADbbACCCCBBBBCCAdBDaaaaDAACCBdADbCBdddADbACBCCCBBBCCAdBDaaBBBCCDDAAAaDAACCBdADbCBddd</t>
  </si>
  <si>
    <t>CBBBDDAcaCACAADDDDBBCcDDAACCCBbABDaBDDAACcc</t>
  </si>
  <si>
    <t>CAADbCBBBB</t>
  </si>
  <si>
    <t>CBBBDDAcaCAdd</t>
  </si>
  <si>
    <t>CBBBDDAcaCACADADDDBBCcDDAACCCBbAADbADD</t>
  </si>
  <si>
    <t>CAADDDBBCC</t>
  </si>
  <si>
    <t>CBBBDDAcBCDAcAA</t>
  </si>
  <si>
    <t>CBBdCAABBDdCCAADbCA</t>
  </si>
  <si>
    <t>CBBBDDABCCAdaCAAADDDBBCcBCaCAADDbbbb</t>
  </si>
  <si>
    <t>CAADC</t>
  </si>
  <si>
    <t>CBBdCAADDDAACCbADDBBCcACbbADb</t>
  </si>
  <si>
    <t>CBBdCDaCAdd</t>
  </si>
  <si>
    <t>CBBdaCAAADDDBBCcBCaCAADDbbCBBBDDDAccaCACA</t>
  </si>
  <si>
    <t>CBBBDDAcBCaaaCAADDDDBBCCbCBdAACCAADDbb</t>
  </si>
  <si>
    <t>CBBABBDDAcBCaaaCAADDDDBBCCbCBBDDAcBCaDAACCAADDbbbbDB</t>
  </si>
  <si>
    <t>CBAAABADbADDBBCcc</t>
  </si>
  <si>
    <t>CBBBDDAcaCAAADDDBBCcDDAACCCBbABDaCA</t>
  </si>
  <si>
    <t>DAAcbAB</t>
  </si>
  <si>
    <t>CCAADdCCBBDDDAaaacABDBBBBCDCCCAADDDCaDA</t>
  </si>
  <si>
    <t>CCAADdCCDD</t>
  </si>
  <si>
    <t>DAAAAcADBBBcDBACDBBABCaDAA</t>
  </si>
  <si>
    <t>DAAcDAAcD</t>
  </si>
  <si>
    <t>DAAcDAAACCBd</t>
  </si>
  <si>
    <t>DAAcDAAACCBdADbbbCDC</t>
  </si>
  <si>
    <t>DAAAAcACCDDDBBBcaa</t>
  </si>
  <si>
    <t>DAAAAACCBdADbbA</t>
  </si>
  <si>
    <t>aBcDBdCACbb</t>
  </si>
  <si>
    <t>ccDDaBCbbADd</t>
  </si>
  <si>
    <t>DddAd</t>
  </si>
  <si>
    <t>DddAADDBcDbcccDDBBCCCCaaaaBBBBDDDDAACCcDDDBBCCCCAaCAdBDaaBBDDDDDBcACCCCCBBDDDDaDAccccDDDBBCCCCAaaBDDDDAACbDBcccDDDDBCBCCCCAaDCCAdBDa</t>
  </si>
  <si>
    <t>DaDaDCDAAccDDBBCacAd</t>
  </si>
  <si>
    <t>DaaaaDCcACbDDDAccD</t>
  </si>
  <si>
    <t>DaDDAADAAccccDB</t>
  </si>
  <si>
    <t>DaDDAADAAccBCcACbDDDAccDDDDBBCBBCCaaa</t>
  </si>
  <si>
    <t>DaaBB</t>
  </si>
  <si>
    <t>DaaBDDAADAAccBCcACbDDDAccDDDDBBCBBCCAaBBDDAADAACCBcc</t>
  </si>
  <si>
    <t>DBBBBCBCCCAcACbbAADaDAccDDBdBDaaBCBbCBddCCACAAADBDDA</t>
  </si>
  <si>
    <t>DBBBBCBCCCDCAcACbbADDBDDDADAAAACCDCCACCCCBBBCBBBBDdAAADaDAccDBBBDBDDDADAAAACCCACCCCBbDDDBdBDaaBCCCBBDBDDDADAAAACcBBCCCBBDC</t>
  </si>
  <si>
    <t>CBBBCccDBBDD</t>
  </si>
  <si>
    <t>DBBBBCBBDaDbD</t>
  </si>
  <si>
    <t>DBBBBCBBDaDDBcBCDAAC</t>
  </si>
  <si>
    <t>Tim emberlei</t>
  </si>
  <si>
    <t>DCAABBDDaaaaDAACCBdADbCBdddADbbACCCCBBBBCCAABdBDaaaaDAACCBdADbCBdddADbCCCCBBBCCAdBDaaaDAACCBdADbCBddd</t>
  </si>
  <si>
    <t>ABDCDddAADDBbcBBCCCCaaaaBBBBDDDDAAcccDDDBBCCCCAaCAdBDaaBBDDDDAcACbDBcccDDDBBCCCCAaCAdBDaBDDDDDBcACCCCCBBDDDDaDAccccDDDBBCCCCAaa</t>
  </si>
  <si>
    <t>DaDaDAAccDDBBCacDBBCaaBBBBDaaaCAdBDa</t>
  </si>
  <si>
    <t>Bas graaf</t>
  </si>
  <si>
    <t>0,25</t>
  </si>
  <si>
    <t>53,08</t>
  </si>
  <si>
    <t>DDaaaaDAACCBdBAADbCBdddADbbACCCCBBBBCCAdBDaaaaDAACCBdADbCBdddADbCCCCBBBCCAdBDaaaDAACCBdADbCBddd</t>
  </si>
  <si>
    <t>86,82</t>
  </si>
  <si>
    <t>DddAADDBbcBBCCCCaaaaBBDDdAADDBBccccDDDBBCCCCAaaBDDDAADbDBccccDDDBBCCCCAaCAdBDaaBBDDDDDBcACCCCCBBDDDDaDAccccDDDBBCCCCAaCAdBDa</t>
  </si>
  <si>
    <t>DaDaDAAccDDBBCaDAcBcDBBCBBDaaaaBB</t>
  </si>
  <si>
    <t>DaDaDAAccD</t>
  </si>
  <si>
    <t>20,84</t>
  </si>
  <si>
    <t>CBBBCbCBddCCAcACbbAADaDAccDDBCBBDDADAAACACCCCBbDD</t>
  </si>
  <si>
    <t>CBBBCbCBddCCAaCCBBBDBDDDDAaCCCAcACbbAADDDDAAACACCCCBBDDDbACCCBCBBBBDdABCCAAAADADDDBbCaDAccDDBBDDAAACACCCCBbDDBDdBDaBCBBCaDAA</t>
  </si>
  <si>
    <t>32,94</t>
  </si>
  <si>
    <t>CBBBCcDCAdBDaaBBCCBBDDDADAAAACcBBCCACCCBCBBBBDDAAAdaDAc</t>
  </si>
  <si>
    <t>74,44</t>
  </si>
  <si>
    <t>CBBBCbCBddCACaCCBBBDBDDDDAaBBCCCCACAAADDBcACbbAADDDDAAACACCCCBBDDDbbAACCCBCBBBBDdAAADaDAccDBDBDDAAACACCCCBbDDBDdBDaaBBCBBCaCCADAACCAADDDDBdddADDBcccc</t>
  </si>
  <si>
    <t>AdADDBBcDAACCBCBBDBBBCBB</t>
  </si>
  <si>
    <t>DBBBCBBBDaDDBcBCaCAB</t>
  </si>
  <si>
    <t>BDBBCBBBDaCAADAAAdA</t>
  </si>
  <si>
    <t>AdADDBBcDAACCBbbbbAABBCBBB</t>
  </si>
  <si>
    <t>AdADDBcACbCBBDBBBCBBDaaBDDBcBCaaCAABA</t>
  </si>
  <si>
    <t>DBBBBCBBDaaaaaBBBBDDBcBCaaCAADAACAAdbbbAAAADDBcACbbbAADDBcACb</t>
  </si>
  <si>
    <t>CBBddbbAACCAADDbbCDbAAADDBcbAACbDBc</t>
  </si>
  <si>
    <t>CBBddbbAACCA</t>
  </si>
  <si>
    <t>DDbbAABBCbbACCAd</t>
  </si>
  <si>
    <t>4,5</t>
  </si>
  <si>
    <t>DbADbbACA</t>
  </si>
  <si>
    <t>37,56</t>
  </si>
  <si>
    <t>CBBddbbAACCAADDbbbAAADDBcACCCBBBDDDaCCCAADDbbDBcACbbAADAADbb</t>
  </si>
  <si>
    <t>BbCbbbAABdCAADbbbAAAAADDBBBcbADAAACCBBbbAAAACbbbb</t>
  </si>
  <si>
    <t>CaaaDAADDBBccDDAcBCbADDBACCBCBBDaa</t>
  </si>
  <si>
    <t>CaaaDAADDBBccDDAcBCbADDB</t>
  </si>
  <si>
    <t>44,38</t>
  </si>
  <si>
    <t>CaaaDbCBBDaCAADAADDBBccbCBBDaaaDDBccDDAAACbDBc</t>
  </si>
  <si>
    <t>BBCBCCAdAdbD</t>
  </si>
  <si>
    <t>39,38</t>
  </si>
  <si>
    <t>BBCBCCAdAdCBBDaDaaDAACCBdADbCBBBCCAdBDaadAACCBdADDDBBc</t>
  </si>
  <si>
    <t>ACCCCbADDBccbCBBDaaaBADADD</t>
  </si>
  <si>
    <t>39,5</t>
  </si>
  <si>
    <t>ACCCCbADDBccDADDDBccACCCDBbCBBDaaaBCaadddBACCAACbbDDDBcACCbbDaCAdBBBBCaa</t>
  </si>
  <si>
    <t>CAADDBbCBd</t>
  </si>
  <si>
    <t>BDaBDDAccBCCAAADDbbAACCBBBDdAAACCBBdCAADDBbDbcDDBBCa</t>
  </si>
  <si>
    <t>DAACa</t>
  </si>
  <si>
    <t>DAAAACb</t>
  </si>
  <si>
    <t>DAACaBDBBCCACAAdAdADDBACCBADbbcBddBDaCBCBCCACAAddADbCB</t>
  </si>
  <si>
    <t>DAACaBDBBCCACAAddCAdADDBcbCBdddADDBcACbCCAAACbCBdADbCBdddADDBcBcaCCBd</t>
  </si>
  <si>
    <t>BBCaBCCAddBDaaDAACbCbdBcAADDDBcACCBBDaCAdBDaBCBBCCCAddBDaaCAd</t>
  </si>
  <si>
    <t>DddAAADADDBBccBCBBDCDaaa</t>
  </si>
  <si>
    <t>25,88</t>
  </si>
  <si>
    <t>DddAADAADDBBcDAACCBCBBAADADDBBCcB</t>
  </si>
  <si>
    <t>DddBDaaa</t>
  </si>
  <si>
    <t>DddBDaCAAADADDBBc</t>
  </si>
  <si>
    <t>33,5</t>
  </si>
  <si>
    <t>DddAAADADDBBccBCBBDCABDaaaDDAACCbCbbDBccDAAADADDBBCcACbbDBc</t>
  </si>
  <si>
    <t>BBBBA</t>
  </si>
  <si>
    <t>CCCBBDC</t>
  </si>
  <si>
    <t>BBccDDBBAA</t>
  </si>
  <si>
    <t>BBccDDBBCCaCC</t>
  </si>
  <si>
    <t>BBBBCCa</t>
  </si>
  <si>
    <t>BBccDDBBCC</t>
  </si>
  <si>
    <t>CCCBBDd</t>
  </si>
  <si>
    <t>BBBBCCaCAAADDDBB</t>
  </si>
  <si>
    <t>BBccbCCAdddC</t>
  </si>
  <si>
    <t>BBcDAACCCBBddC</t>
  </si>
  <si>
    <t>BBccDDBBCCaBDDAAAACCCBbddCCDBBDDAaBBCCAACCBdADDDBBCCa</t>
  </si>
  <si>
    <t>DAccAAADDBcbCBBCCAdBDadAA</t>
  </si>
  <si>
    <t>DAccAAADDBcbC</t>
  </si>
  <si>
    <t>DAccAAADDBcACbDbbCBCCAddBda</t>
  </si>
  <si>
    <t>CAdCAAADDBcbC</t>
  </si>
  <si>
    <t>DAccAAADDBcbCBdCBCCAddBDa</t>
  </si>
  <si>
    <t>DAccAAADDBcbABCBdBCCCAddBDCAADAACb</t>
  </si>
  <si>
    <t>AAcbCDDCDBBCaaCCBdA</t>
  </si>
  <si>
    <t>AAcbCCABDDDBBCa</t>
  </si>
  <si>
    <t>AAcbCCAddBDBBCaD</t>
  </si>
  <si>
    <t>AAcbCCAddBDBBCaaC</t>
  </si>
  <si>
    <t>AAcbCCAdBDDBBCaDAAcbbc</t>
  </si>
  <si>
    <t>AAcbCCAddBDBBCaDAcACCBBddADDAcBCBCCAADbDBBDaC</t>
  </si>
  <si>
    <t>AAcbCCAddBDBBCaDAcACCBBddADDAcBCBBDCAADAcBBBDaCAADDBcBCCCAAdbCB</t>
  </si>
  <si>
    <t>DCCBBdCDaCAAADDDBBCcBCaCAADDbADDBBCcAACCBdbDBBBDDAccAAD</t>
  </si>
  <si>
    <t>CBBdCAADb</t>
  </si>
  <si>
    <t>CBBdCAABBDa</t>
  </si>
  <si>
    <t>CBBdCAADDDA</t>
  </si>
  <si>
    <t>CBBdaCAAADDDBBCcBCaCAADDbbCBBBDDDAccaCACAADDBbAACCBBDB</t>
  </si>
  <si>
    <t>CBBdaCACAADDDDBBCcDDAACCCBbbAAADbADDBBCcBCaDBBBCaBDDDAcc</t>
  </si>
  <si>
    <t>CCAADdC</t>
  </si>
  <si>
    <t>DAAAAcDBBBBCCCAADdCCDDaaBBCCBBDDaDacAADbAAACbbbAACCBd</t>
  </si>
  <si>
    <t>CCBccDAABBDADDBccA</t>
  </si>
  <si>
    <t>CCCACD</t>
  </si>
  <si>
    <t>CCCDBccDAACbDD</t>
  </si>
  <si>
    <t>CCBdACBccDAACbD</t>
  </si>
  <si>
    <t>CCBdCcBCCAdBDa</t>
  </si>
  <si>
    <t>CCBdCccDAACbb</t>
  </si>
  <si>
    <t>CCBdCccDAACbDCb</t>
  </si>
  <si>
    <t>CCBdCACACb</t>
  </si>
  <si>
    <t>CCBdCcBCCAddAACbDBBABCCAdBDaCAdddBcAC</t>
  </si>
  <si>
    <t>CCBcDdCCBCCAdBDa</t>
  </si>
  <si>
    <t>Jesse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</si>
</sst>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49" fontId="0" fillId="0" borderId="0" xfId="0" applyNumberFormat="1"/>
    <xf numFmtId="0" fontId="0" fillId="2" borderId="0" xfId="0" applyFill="1"/>
    <xf numFmtId="49" fontId="0" fillId="3" borderId="0" xfId="0" applyNumberFormat="1" applyFill="1"/>
    <xf numFmtId="11" fontId="0" fillId="0" borderId="0" xfId="0" applyNumberFormat="1"/>
    <xf numFmtId="0" fontId="0" fillId="4" borderId="0" xfId="0" applyFill="1"/>
    <xf numFmtId="0" fontId="0" fillId="5" borderId="0" xfId="0" applyFill="1"/>
    <xf numFmtId="0" fontId="0" fillId="2" borderId="1" xfId="0" applyFill="1" applyBorder="1"/>
    <xf numFmtId="0" fontId="0" fillId="6" borderId="0" xfId="0" applyFill="1"/>
    <xf numFmtId="0" fontId="3" fillId="0" borderId="0" xfId="0" applyFont="1" applyFill="1"/>
    <xf numFmtId="2" fontId="3" fillId="0" borderId="0" xfId="0" applyNumberFormat="1" applyFont="1" applyFill="1"/>
    <xf numFmtId="49" fontId="0" fillId="0" borderId="0" xfId="0" applyNumberFormat="1" applyFill="1"/>
    <xf numFmtId="0" fontId="0" fillId="0" borderId="0" xfId="0" applyNumberFormat="1" applyFill="1"/>
    <xf numFmtId="0" fontId="0" fillId="0" borderId="0" xfId="0" quotePrefix="1" applyNumberFormat="1"/>
    <xf numFmtId="0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 vertical="top" wrapText="1"/>
    </xf>
    <xf numFmtId="0" fontId="0" fillId="1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/>
  </cellXfs>
  <cellStyles count="1">
    <cellStyle name="Standaard" xfId="0" builtinId="0"/>
  </cellStyles>
  <dxfs count="321"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Export!$L$1</c:f>
              <c:strCache>
                <c:ptCount val="1"/>
                <c:pt idx="0">
                  <c:v>average steps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Export!$L$2:$L$101</c:f>
              <c:numCache>
                <c:formatCode>0.00</c:formatCode>
                <c:ptCount val="100"/>
                <c:pt idx="0">
                  <c:v>11.3</c:v>
                </c:pt>
                <c:pt idx="1">
                  <c:v>98.2</c:v>
                </c:pt>
                <c:pt idx="2">
                  <c:v>126.8</c:v>
                </c:pt>
                <c:pt idx="3">
                  <c:v>34</c:v>
                </c:pt>
                <c:pt idx="4">
                  <c:v>52.5</c:v>
                </c:pt>
                <c:pt idx="5">
                  <c:v>173</c:v>
                </c:pt>
                <c:pt idx="6">
                  <c:v>77</c:v>
                </c:pt>
                <c:pt idx="7">
                  <c:v>69</c:v>
                </c:pt>
                <c:pt idx="8">
                  <c:v>56</c:v>
                </c:pt>
                <c:pt idx="9">
                  <c:v>42</c:v>
                </c:pt>
                <c:pt idx="10">
                  <c:v>49</c:v>
                </c:pt>
                <c:pt idx="11">
                  <c:v>61</c:v>
                </c:pt>
                <c:pt idx="12">
                  <c:v>80</c:v>
                </c:pt>
                <c:pt idx="13">
                  <c:v>105</c:v>
                </c:pt>
                <c:pt idx="14">
                  <c:v>63</c:v>
                </c:pt>
                <c:pt idx="15">
                  <c:v>55</c:v>
                </c:pt>
                <c:pt idx="16">
                  <c:v>57</c:v>
                </c:pt>
                <c:pt idx="17">
                  <c:v>40</c:v>
                </c:pt>
                <c:pt idx="18">
                  <c:v>54</c:v>
                </c:pt>
                <c:pt idx="19" formatCode="General">
                  <c:v>70</c:v>
                </c:pt>
                <c:pt idx="20" formatCode="General">
                  <c:v>56</c:v>
                </c:pt>
                <c:pt idx="21" formatCode="General">
                  <c:v>132</c:v>
                </c:pt>
                <c:pt idx="22" formatCode="General">
                  <c:v>84</c:v>
                </c:pt>
                <c:pt idx="23" formatCode="General">
                  <c:v>183</c:v>
                </c:pt>
                <c:pt idx="24" formatCode="General">
                  <c:v>100</c:v>
                </c:pt>
                <c:pt idx="25" formatCode="General">
                  <c:v>142</c:v>
                </c:pt>
                <c:pt idx="26" formatCode="General">
                  <c:v>81</c:v>
                </c:pt>
                <c:pt idx="27" formatCode="General">
                  <c:v>0</c:v>
                </c:pt>
                <c:pt idx="28" formatCode="General">
                  <c:v>110</c:v>
                </c:pt>
                <c:pt idx="29" formatCode="General">
                  <c:v>40</c:v>
                </c:pt>
                <c:pt idx="30" formatCode="General">
                  <c:v>31.5</c:v>
                </c:pt>
                <c:pt idx="31" formatCode="General">
                  <c:v>32</c:v>
                </c:pt>
                <c:pt idx="32" formatCode="General">
                  <c:v>39</c:v>
                </c:pt>
                <c:pt idx="33" formatCode="General">
                  <c:v>94</c:v>
                </c:pt>
                <c:pt idx="34" formatCode="General">
                  <c:v>80</c:v>
                </c:pt>
                <c:pt idx="35" formatCode="General">
                  <c:v>32.333333333333336</c:v>
                </c:pt>
                <c:pt idx="36" formatCode="General">
                  <c:v>42</c:v>
                </c:pt>
                <c:pt idx="37" formatCode="General">
                  <c:v>93</c:v>
                </c:pt>
                <c:pt idx="38" formatCode="General">
                  <c:v>73</c:v>
                </c:pt>
                <c:pt idx="39" formatCode="General">
                  <c:v>41</c:v>
                </c:pt>
                <c:pt idx="40" formatCode="General">
                  <c:v>50</c:v>
                </c:pt>
                <c:pt idx="41" formatCode="General">
                  <c:v>19</c:v>
                </c:pt>
                <c:pt idx="42" formatCode="General">
                  <c:v>51</c:v>
                </c:pt>
                <c:pt idx="43" formatCode="General">
                  <c:v>56</c:v>
                </c:pt>
                <c:pt idx="44" formatCode="General">
                  <c:v>35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47</c:v>
                </c:pt>
                <c:pt idx="60" formatCode="General">
                  <c:v>83</c:v>
                </c:pt>
                <c:pt idx="61" formatCode="General">
                  <c:v>73</c:v>
                </c:pt>
                <c:pt idx="62" formatCode="General">
                  <c:v>84</c:v>
                </c:pt>
                <c:pt idx="63" formatCode="General">
                  <c:v>80</c:v>
                </c:pt>
                <c:pt idx="64" formatCode="General">
                  <c:v>34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60</c:v>
                </c:pt>
                <c:pt idx="70" formatCode="General">
                  <c:v>61</c:v>
                </c:pt>
                <c:pt idx="71" formatCode="General">
                  <c:v>0</c:v>
                </c:pt>
                <c:pt idx="72" formatCode="General">
                  <c:v>61</c:v>
                </c:pt>
                <c:pt idx="73" formatCode="General">
                  <c:v>95</c:v>
                </c:pt>
                <c:pt idx="74" formatCode="General">
                  <c:v>170</c:v>
                </c:pt>
                <c:pt idx="75" formatCode="General">
                  <c:v>59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C-4D91-9589-3889A1BCC95E}"/>
            </c:ext>
          </c:extLst>
        </c:ser>
        <c:ser>
          <c:idx val="1"/>
          <c:order val="1"/>
          <c:tx>
            <c:strRef>
              <c:f>Export!$M$1</c:f>
              <c:strCache>
                <c:ptCount val="1"/>
                <c:pt idx="0">
                  <c:v>average animation 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Export!$M$2:$M$101</c:f>
              <c:numCache>
                <c:formatCode>0.00</c:formatCode>
                <c:ptCount val="100"/>
                <c:pt idx="0">
                  <c:v>0.22509999999999999</c:v>
                </c:pt>
                <c:pt idx="1">
                  <c:v>0.25</c:v>
                </c:pt>
                <c:pt idx="2">
                  <c:v>0.22000000000000003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 formatCode="General">
                  <c:v>0.25</c:v>
                </c:pt>
                <c:pt idx="20" formatCode="General">
                  <c:v>0.25</c:v>
                </c:pt>
                <c:pt idx="21" formatCode="General">
                  <c:v>0.25</c:v>
                </c:pt>
                <c:pt idx="22" formatCode="General">
                  <c:v>0.25</c:v>
                </c:pt>
                <c:pt idx="23" formatCode="General">
                  <c:v>0.25</c:v>
                </c:pt>
                <c:pt idx="24" formatCode="General">
                  <c:v>0.25</c:v>
                </c:pt>
                <c:pt idx="25" formatCode="General">
                  <c:v>0.25</c:v>
                </c:pt>
                <c:pt idx="26" formatCode="General">
                  <c:v>0.25</c:v>
                </c:pt>
                <c:pt idx="27" formatCode="General">
                  <c:v>0</c:v>
                </c:pt>
                <c:pt idx="28" formatCode="General">
                  <c:v>0.25</c:v>
                </c:pt>
                <c:pt idx="29" formatCode="General">
                  <c:v>0.25</c:v>
                </c:pt>
                <c:pt idx="30" formatCode="General">
                  <c:v>0.25</c:v>
                </c:pt>
                <c:pt idx="31" formatCode="General">
                  <c:v>0.25</c:v>
                </c:pt>
                <c:pt idx="32" formatCode="General">
                  <c:v>0.25</c:v>
                </c:pt>
                <c:pt idx="33" formatCode="General">
                  <c:v>0.25</c:v>
                </c:pt>
                <c:pt idx="34" formatCode="General">
                  <c:v>0.25</c:v>
                </c:pt>
                <c:pt idx="35" formatCode="General">
                  <c:v>0.25</c:v>
                </c:pt>
                <c:pt idx="36" formatCode="General">
                  <c:v>0.25</c:v>
                </c:pt>
                <c:pt idx="37" formatCode="General">
                  <c:v>0.25</c:v>
                </c:pt>
                <c:pt idx="38" formatCode="General">
                  <c:v>0.25</c:v>
                </c:pt>
                <c:pt idx="39" formatCode="General">
                  <c:v>0.25</c:v>
                </c:pt>
                <c:pt idx="40" formatCode="General">
                  <c:v>0.25</c:v>
                </c:pt>
                <c:pt idx="41" formatCode="General">
                  <c:v>0.25</c:v>
                </c:pt>
                <c:pt idx="42" formatCode="General">
                  <c:v>0.25</c:v>
                </c:pt>
                <c:pt idx="43" formatCode="General">
                  <c:v>0.25</c:v>
                </c:pt>
                <c:pt idx="44" formatCode="General">
                  <c:v>0.25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0.25</c:v>
                </c:pt>
                <c:pt idx="60" formatCode="General">
                  <c:v>0.25</c:v>
                </c:pt>
                <c:pt idx="61" formatCode="General">
                  <c:v>0.25</c:v>
                </c:pt>
                <c:pt idx="62" formatCode="General">
                  <c:v>0.25</c:v>
                </c:pt>
                <c:pt idx="63" formatCode="General">
                  <c:v>0.25</c:v>
                </c:pt>
                <c:pt idx="64" formatCode="General">
                  <c:v>0.25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0.25</c:v>
                </c:pt>
                <c:pt idx="70" formatCode="General">
                  <c:v>0.25</c:v>
                </c:pt>
                <c:pt idx="71" formatCode="General">
                  <c:v>0</c:v>
                </c:pt>
                <c:pt idx="72" formatCode="General">
                  <c:v>0.25</c:v>
                </c:pt>
                <c:pt idx="73" formatCode="General">
                  <c:v>0.25</c:v>
                </c:pt>
                <c:pt idx="74" formatCode="General">
                  <c:v>0.25</c:v>
                </c:pt>
                <c:pt idx="75" formatCode="General">
                  <c:v>0.25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C-4D91-9589-3889A1BCC95E}"/>
            </c:ext>
          </c:extLst>
        </c:ser>
        <c:ser>
          <c:idx val="2"/>
          <c:order val="2"/>
          <c:tx>
            <c:strRef>
              <c:f>Export!$N$1</c:f>
              <c:strCache>
                <c:ptCount val="1"/>
                <c:pt idx="0">
                  <c:v>average time spend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Export!$N$2:$N$102</c:f>
              <c:numCache>
                <c:formatCode>0.00</c:formatCode>
                <c:ptCount val="101"/>
                <c:pt idx="0">
                  <c:v>5.7579995000000004</c:v>
                </c:pt>
                <c:pt idx="1">
                  <c:v>58.671998000000009</c:v>
                </c:pt>
                <c:pt idx="2">
                  <c:v>101.783978</c:v>
                </c:pt>
                <c:pt idx="3">
                  <c:v>17.206673333333331</c:v>
                </c:pt>
                <c:pt idx="4">
                  <c:v>32.175004999999999</c:v>
                </c:pt>
                <c:pt idx="5">
                  <c:v>81.239990000000006</c:v>
                </c:pt>
                <c:pt idx="6">
                  <c:v>55.369979999999998</c:v>
                </c:pt>
                <c:pt idx="7">
                  <c:v>31.089995000000002</c:v>
                </c:pt>
                <c:pt idx="8">
                  <c:v>20.10004</c:v>
                </c:pt>
                <c:pt idx="9">
                  <c:v>17.959959999999999</c:v>
                </c:pt>
                <c:pt idx="10">
                  <c:v>24.92004</c:v>
                </c:pt>
                <c:pt idx="11">
                  <c:v>28.900020000000001</c:v>
                </c:pt>
                <c:pt idx="12">
                  <c:v>40.059939999999997</c:v>
                </c:pt>
                <c:pt idx="13">
                  <c:v>90.660030000000006</c:v>
                </c:pt>
                <c:pt idx="14">
                  <c:v>39.199950000000001</c:v>
                </c:pt>
                <c:pt idx="15">
                  <c:v>27.599979999999999</c:v>
                </c:pt>
                <c:pt idx="16">
                  <c:v>32.440060000000003</c:v>
                </c:pt>
                <c:pt idx="17">
                  <c:v>39.820070000000001</c:v>
                </c:pt>
                <c:pt idx="18">
                  <c:v>33.06006</c:v>
                </c:pt>
                <c:pt idx="19" formatCode="General">
                  <c:v>35.139890000000001</c:v>
                </c:pt>
                <c:pt idx="20" formatCode="General">
                  <c:v>22.260010000000001</c:v>
                </c:pt>
                <c:pt idx="21" formatCode="General">
                  <c:v>102.78</c:v>
                </c:pt>
                <c:pt idx="22" formatCode="General">
                  <c:v>52.22</c:v>
                </c:pt>
                <c:pt idx="23" formatCode="General">
                  <c:v>83.06</c:v>
                </c:pt>
                <c:pt idx="24" formatCode="General">
                  <c:v>40.340000000000003</c:v>
                </c:pt>
                <c:pt idx="25" formatCode="General">
                  <c:v>47.57996</c:v>
                </c:pt>
                <c:pt idx="26" formatCode="General">
                  <c:v>45.5</c:v>
                </c:pt>
                <c:pt idx="27" formatCode="General">
                  <c:v>0</c:v>
                </c:pt>
                <c:pt idx="28" formatCode="General">
                  <c:v>60.620010000000001</c:v>
                </c:pt>
                <c:pt idx="29" formatCode="General">
                  <c:v>12.680003333333334</c:v>
                </c:pt>
                <c:pt idx="30" formatCode="General">
                  <c:v>11.839997500000001</c:v>
                </c:pt>
                <c:pt idx="31" formatCode="General">
                  <c:v>10.83</c:v>
                </c:pt>
                <c:pt idx="32" formatCode="General">
                  <c:v>15.94</c:v>
                </c:pt>
                <c:pt idx="33" formatCode="General">
                  <c:v>41.679989999999997</c:v>
                </c:pt>
                <c:pt idx="34" formatCode="General">
                  <c:v>31.139969999999998</c:v>
                </c:pt>
                <c:pt idx="35" formatCode="General">
                  <c:v>14.62668</c:v>
                </c:pt>
                <c:pt idx="36" formatCode="General">
                  <c:v>22.630004999999997</c:v>
                </c:pt>
                <c:pt idx="37" formatCode="General">
                  <c:v>56.319949999999999</c:v>
                </c:pt>
                <c:pt idx="38" formatCode="General">
                  <c:v>23.64001</c:v>
                </c:pt>
                <c:pt idx="39" formatCode="General">
                  <c:v>14.96002</c:v>
                </c:pt>
                <c:pt idx="40" formatCode="General">
                  <c:v>18.53999</c:v>
                </c:pt>
                <c:pt idx="41" formatCode="General">
                  <c:v>6.7699435000000001</c:v>
                </c:pt>
                <c:pt idx="42" formatCode="General">
                  <c:v>18.47992</c:v>
                </c:pt>
                <c:pt idx="43" formatCode="General">
                  <c:v>18.239989999999999</c:v>
                </c:pt>
                <c:pt idx="44" formatCode="General">
                  <c:v>12.300050000000001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16.87</c:v>
                </c:pt>
                <c:pt idx="60" formatCode="General">
                  <c:v>26.64</c:v>
                </c:pt>
                <c:pt idx="61" formatCode="General">
                  <c:v>30.74</c:v>
                </c:pt>
                <c:pt idx="62" formatCode="General">
                  <c:v>27.62</c:v>
                </c:pt>
                <c:pt idx="63" formatCode="General">
                  <c:v>41.099989999999998</c:v>
                </c:pt>
                <c:pt idx="64" formatCode="General">
                  <c:v>11.319990000000001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37.880000000000003</c:v>
                </c:pt>
                <c:pt idx="70" formatCode="General">
                  <c:v>31.64001</c:v>
                </c:pt>
                <c:pt idx="71" formatCode="General">
                  <c:v>0</c:v>
                </c:pt>
                <c:pt idx="72" formatCode="General">
                  <c:v>20.959959999999999</c:v>
                </c:pt>
                <c:pt idx="73" formatCode="General">
                  <c:v>35.700000000000003</c:v>
                </c:pt>
                <c:pt idx="74" formatCode="General">
                  <c:v>67.759990000000002</c:v>
                </c:pt>
                <c:pt idx="75" formatCode="General">
                  <c:v>35.599989999999998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C-4D91-9589-3889A1BCC95E}"/>
            </c:ext>
          </c:extLst>
        </c:ser>
        <c:ser>
          <c:idx val="3"/>
          <c:order val="3"/>
          <c:tx>
            <c:strRef>
              <c:f>Export!$O$1</c:f>
              <c:strCache>
                <c:ptCount val="1"/>
                <c:pt idx="0">
                  <c:v>average ThinkingTime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Export!$O$2:$O$101</c:f>
              <c:numCache>
                <c:formatCode>0.00</c:formatCode>
                <c:ptCount val="100"/>
                <c:pt idx="0">
                  <c:v>3.2143695000000001</c:v>
                </c:pt>
                <c:pt idx="1">
                  <c:v>34.121998000000005</c:v>
                </c:pt>
                <c:pt idx="2">
                  <c:v>73.887978000000004</c:v>
                </c:pt>
                <c:pt idx="3">
                  <c:v>8.706673333333331</c:v>
                </c:pt>
                <c:pt idx="4">
                  <c:v>19.050004999999999</c:v>
                </c:pt>
                <c:pt idx="5">
                  <c:v>37.989990000000006</c:v>
                </c:pt>
                <c:pt idx="6">
                  <c:v>36.119979999999998</c:v>
                </c:pt>
                <c:pt idx="7">
                  <c:v>13.839995000000002</c:v>
                </c:pt>
                <c:pt idx="8">
                  <c:v>6.1000399999999999</c:v>
                </c:pt>
                <c:pt idx="9">
                  <c:v>7.4599599999999988</c:v>
                </c:pt>
                <c:pt idx="10">
                  <c:v>12.67004</c:v>
                </c:pt>
                <c:pt idx="11">
                  <c:v>13.650020000000001</c:v>
                </c:pt>
                <c:pt idx="12">
                  <c:v>20.059939999999997</c:v>
                </c:pt>
                <c:pt idx="13">
                  <c:v>64.410030000000006</c:v>
                </c:pt>
                <c:pt idx="14">
                  <c:v>23.449950000000001</c:v>
                </c:pt>
                <c:pt idx="15">
                  <c:v>13.849979999999999</c:v>
                </c:pt>
                <c:pt idx="16">
                  <c:v>18.190060000000003</c:v>
                </c:pt>
                <c:pt idx="17">
                  <c:v>29.820070000000001</c:v>
                </c:pt>
                <c:pt idx="18">
                  <c:v>19.56006</c:v>
                </c:pt>
                <c:pt idx="19">
                  <c:v>17.639890000000001</c:v>
                </c:pt>
                <c:pt idx="20">
                  <c:v>8.2600100000000012</c:v>
                </c:pt>
                <c:pt idx="21">
                  <c:v>69.78</c:v>
                </c:pt>
                <c:pt idx="22">
                  <c:v>31.22</c:v>
                </c:pt>
                <c:pt idx="23">
                  <c:v>37.31</c:v>
                </c:pt>
                <c:pt idx="24">
                  <c:v>15.340000000000003</c:v>
                </c:pt>
                <c:pt idx="25">
                  <c:v>12.07996</c:v>
                </c:pt>
                <c:pt idx="26">
                  <c:v>25.25</c:v>
                </c:pt>
                <c:pt idx="27">
                  <c:v>0</c:v>
                </c:pt>
                <c:pt idx="28">
                  <c:v>33.120010000000001</c:v>
                </c:pt>
                <c:pt idx="29">
                  <c:v>2.6800033333333335</c:v>
                </c:pt>
                <c:pt idx="30">
                  <c:v>3.9649975000000008</c:v>
                </c:pt>
                <c:pt idx="31">
                  <c:v>2.83</c:v>
                </c:pt>
                <c:pt idx="32">
                  <c:v>6.1899999999999995</c:v>
                </c:pt>
                <c:pt idx="33">
                  <c:v>18.179989999999997</c:v>
                </c:pt>
                <c:pt idx="34">
                  <c:v>11.139969999999998</c:v>
                </c:pt>
                <c:pt idx="35">
                  <c:v>6.5433466666666664</c:v>
                </c:pt>
                <c:pt idx="36">
                  <c:v>12.130004999999997</c:v>
                </c:pt>
                <c:pt idx="37">
                  <c:v>33.069949999999999</c:v>
                </c:pt>
                <c:pt idx="38">
                  <c:v>5.3900100000000002</c:v>
                </c:pt>
                <c:pt idx="39">
                  <c:v>4.7100200000000001</c:v>
                </c:pt>
                <c:pt idx="40">
                  <c:v>6.0399899999999995</c:v>
                </c:pt>
                <c:pt idx="41">
                  <c:v>2.0199435000000001</c:v>
                </c:pt>
                <c:pt idx="42">
                  <c:v>5.7299199999999999</c:v>
                </c:pt>
                <c:pt idx="43">
                  <c:v>4.2399899999999988</c:v>
                </c:pt>
                <c:pt idx="44">
                  <c:v>3.5500500000000006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5.120000000000001</c:v>
                </c:pt>
                <c:pt idx="60">
                  <c:v>5.8900000000000006</c:v>
                </c:pt>
                <c:pt idx="61">
                  <c:v>12.489999999999998</c:v>
                </c:pt>
                <c:pt idx="62">
                  <c:v>6.620000000000001</c:v>
                </c:pt>
                <c:pt idx="63">
                  <c:v>21.099989999999998</c:v>
                </c:pt>
                <c:pt idx="64">
                  <c:v>2.8199900000000007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22.880000000000003</c:v>
                </c:pt>
                <c:pt idx="70">
                  <c:v>16.39001</c:v>
                </c:pt>
                <c:pt idx="71">
                  <c:v>0</c:v>
                </c:pt>
                <c:pt idx="72">
                  <c:v>5.7099599999999988</c:v>
                </c:pt>
                <c:pt idx="73">
                  <c:v>11.950000000000003</c:v>
                </c:pt>
                <c:pt idx="74">
                  <c:v>25.259990000000002</c:v>
                </c:pt>
                <c:pt idx="75">
                  <c:v>20.849989999999998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7C-4D91-9589-3889A1BC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823512"/>
        <c:axId val="484825152"/>
      </c:lineChart>
      <c:catAx>
        <c:axId val="484823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4825152"/>
        <c:crosses val="autoZero"/>
        <c:auto val="1"/>
        <c:lblAlgn val="ctr"/>
        <c:lblOffset val="100"/>
        <c:noMultiLvlLbl val="0"/>
      </c:catAx>
      <c:valAx>
        <c:axId val="4848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482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</a:t>
            </a:r>
            <a:r>
              <a:rPr lang="en-US" baseline="0"/>
              <a:t> made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Export!$P$1</c:f>
              <c:strCache>
                <c:ptCount val="1"/>
                <c:pt idx="0">
                  <c:v>Tires won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Export!$P$2:$P$102</c:f>
              <c:numCache>
                <c:formatCode>General</c:formatCode>
                <c:ptCount val="101"/>
                <c:pt idx="0">
                  <c:v>10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3</c:v>
                </c:pt>
                <c:pt idx="30">
                  <c:v>4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1-4136-BABF-10F5D3D242D6}"/>
            </c:ext>
          </c:extLst>
        </c:ser>
        <c:ser>
          <c:idx val="1"/>
          <c:order val="1"/>
          <c:tx>
            <c:strRef>
              <c:f>Export!$Q$1</c:f>
              <c:strCache>
                <c:ptCount val="1"/>
                <c:pt idx="0">
                  <c:v>Tries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Export!$Q$2:$Q$102</c:f>
              <c:numCache>
                <c:formatCode>General</c:formatCode>
                <c:ptCount val="10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18</c:v>
                </c:pt>
                <c:pt idx="20">
                  <c:v>9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3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2-4013-BE81-8557AD90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823512"/>
        <c:axId val="484825152"/>
      </c:lineChart>
      <c:catAx>
        <c:axId val="484823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4825152"/>
        <c:crosses val="autoZero"/>
        <c:auto val="1"/>
        <c:lblAlgn val="ctr"/>
        <c:lblOffset val="100"/>
        <c:noMultiLvlLbl val="0"/>
      </c:catAx>
      <c:valAx>
        <c:axId val="4848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8482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152400</xdr:colOff>
      <xdr:row>0</xdr:row>
      <xdr:rowOff>53340</xdr:rowOff>
    </xdr:from>
    <xdr:to>
      <xdr:col>36</xdr:col>
      <xdr:colOff>144780</xdr:colOff>
      <xdr:row>27</xdr:row>
      <xdr:rowOff>7620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F272FAFA-C12D-4E55-A0DC-9E2411832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26</xdr:row>
      <xdr:rowOff>114300</xdr:rowOff>
    </xdr:from>
    <xdr:to>
      <xdr:col>36</xdr:col>
      <xdr:colOff>7620</xdr:colOff>
      <xdr:row>42</xdr:row>
      <xdr:rowOff>137160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7B92EB7-C880-4E90-839A-A1D039131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AV83"/>
  <sheetViews>
    <sheetView zoomScaleNormal="100" workbookViewId="0">
      <selection activeCell="J2" sqref="J2"/>
    </sheetView>
  </sheetViews>
  <sheetFormatPr defaultRowHeight="14.4" x14ac:dyDescent="0.3"/>
  <cols>
    <col min="1" max="1" width="5.88671875" bestFit="1" customWidth="1"/>
    <col min="2" max="2" width="8" bestFit="1" customWidth="1"/>
    <col min="3" max="3" width="5.77734375" bestFit="1" customWidth="1"/>
    <col min="4" max="4" width="15.77734375" bestFit="1" customWidth="1"/>
    <col min="5" max="6" width="12" bestFit="1" customWidth="1"/>
    <col min="7" max="7" width="11.6640625" bestFit="1" customWidth="1"/>
    <col min="8" max="8" width="10.77734375" customWidth="1"/>
    <col min="9" max="9" width="1.109375" customWidth="1"/>
    <col min="10" max="10" width="14.88671875" bestFit="1" customWidth="1"/>
    <col min="11" max="11" width="1.109375" customWidth="1"/>
    <col min="44" max="122" width="2.77734375" customWidth="1"/>
  </cols>
  <sheetData>
    <row r="1" spans="1:10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s="11" t="s">
        <v>120</v>
      </c>
      <c r="H1" t="s">
        <v>166</v>
      </c>
    </row>
    <row r="2" spans="1:10" x14ac:dyDescent="0.3">
      <c r="J2" s="7" t="s">
        <v>4</v>
      </c>
    </row>
    <row r="3" spans="1:10" x14ac:dyDescent="0.3">
      <c r="J3" s="28" t="s">
        <v>5</v>
      </c>
    </row>
    <row r="4" spans="1:10" x14ac:dyDescent="0.3">
      <c r="J4" s="28"/>
    </row>
    <row r="5" spans="1:10" x14ac:dyDescent="0.3">
      <c r="J5" s="28"/>
    </row>
    <row r="6" spans="1:10" x14ac:dyDescent="0.3">
      <c r="J6" s="28"/>
    </row>
    <row r="61" spans="47:48" x14ac:dyDescent="0.3">
      <c r="AU61" t="s">
        <v>138</v>
      </c>
      <c r="AV61" t="s">
        <v>138</v>
      </c>
    </row>
    <row r="62" spans="47:48" x14ac:dyDescent="0.3">
      <c r="AU62" t="s">
        <v>138</v>
      </c>
      <c r="AV62" t="s">
        <v>138</v>
      </c>
    </row>
    <row r="63" spans="47:48" x14ac:dyDescent="0.3">
      <c r="AU63" t="s">
        <v>138</v>
      </c>
      <c r="AV63" t="s">
        <v>138</v>
      </c>
    </row>
    <row r="64" spans="47:48" x14ac:dyDescent="0.3">
      <c r="AU64" t="s">
        <v>138</v>
      </c>
      <c r="AV64" t="s">
        <v>138</v>
      </c>
    </row>
    <row r="65" spans="47:48" x14ac:dyDescent="0.3">
      <c r="AU65" t="s">
        <v>138</v>
      </c>
      <c r="AV65" t="s">
        <v>138</v>
      </c>
    </row>
    <row r="66" spans="47:48" x14ac:dyDescent="0.3">
      <c r="AU66" t="s">
        <v>138</v>
      </c>
      <c r="AV66" t="s">
        <v>138</v>
      </c>
    </row>
    <row r="67" spans="47:48" x14ac:dyDescent="0.3">
      <c r="AU67" t="s">
        <v>138</v>
      </c>
      <c r="AV67" t="s">
        <v>138</v>
      </c>
    </row>
    <row r="68" spans="47:48" x14ac:dyDescent="0.3">
      <c r="AU68" t="s">
        <v>138</v>
      </c>
      <c r="AV68" t="s">
        <v>138</v>
      </c>
    </row>
    <row r="69" spans="47:48" x14ac:dyDescent="0.3">
      <c r="AU69" t="s">
        <v>138</v>
      </c>
      <c r="AV69" t="s">
        <v>138</v>
      </c>
    </row>
    <row r="70" spans="47:48" x14ac:dyDescent="0.3">
      <c r="AU70" t="s">
        <v>138</v>
      </c>
      <c r="AV70" t="s">
        <v>138</v>
      </c>
    </row>
    <row r="71" spans="47:48" x14ac:dyDescent="0.3">
      <c r="AU71" t="s">
        <v>138</v>
      </c>
      <c r="AV71" t="s">
        <v>138</v>
      </c>
    </row>
    <row r="72" spans="47:48" x14ac:dyDescent="0.3">
      <c r="AU72" t="s">
        <v>138</v>
      </c>
      <c r="AV72" t="s">
        <v>138</v>
      </c>
    </row>
    <row r="73" spans="47:48" x14ac:dyDescent="0.3">
      <c r="AU73" t="s">
        <v>138</v>
      </c>
      <c r="AV73" t="s">
        <v>138</v>
      </c>
    </row>
    <row r="74" spans="47:48" x14ac:dyDescent="0.3">
      <c r="AU74" t="s">
        <v>138</v>
      </c>
      <c r="AV74" t="s">
        <v>138</v>
      </c>
    </row>
    <row r="75" spans="47:48" x14ac:dyDescent="0.3">
      <c r="AU75" t="s">
        <v>138</v>
      </c>
      <c r="AV75" t="s">
        <v>138</v>
      </c>
    </row>
    <row r="76" spans="47:48" x14ac:dyDescent="0.3">
      <c r="AU76" t="s">
        <v>138</v>
      </c>
      <c r="AV76" t="s">
        <v>138</v>
      </c>
    </row>
    <row r="77" spans="47:48" x14ac:dyDescent="0.3">
      <c r="AU77" t="s">
        <v>138</v>
      </c>
      <c r="AV77" t="s">
        <v>138</v>
      </c>
    </row>
    <row r="78" spans="47:48" x14ac:dyDescent="0.3">
      <c r="AU78" t="s">
        <v>138</v>
      </c>
      <c r="AV78" t="s">
        <v>138</v>
      </c>
    </row>
    <row r="79" spans="47:48" x14ac:dyDescent="0.3">
      <c r="AU79" t="s">
        <v>138</v>
      </c>
      <c r="AV79" t="s">
        <v>138</v>
      </c>
    </row>
    <row r="80" spans="47:48" x14ac:dyDescent="0.3">
      <c r="AU80" t="s">
        <v>138</v>
      </c>
      <c r="AV80" t="s">
        <v>138</v>
      </c>
    </row>
    <row r="81" spans="47:48" x14ac:dyDescent="0.3">
      <c r="AU81" t="s">
        <v>138</v>
      </c>
      <c r="AV81" t="s">
        <v>138</v>
      </c>
    </row>
    <row r="82" spans="47:48" x14ac:dyDescent="0.3">
      <c r="AU82" t="s">
        <v>138</v>
      </c>
      <c r="AV82" t="s">
        <v>138</v>
      </c>
    </row>
    <row r="83" spans="47:48" x14ac:dyDescent="0.3">
      <c r="AU83" t="s">
        <v>138</v>
      </c>
      <c r="AV83" t="s">
        <v>138</v>
      </c>
    </row>
  </sheetData>
  <sortState ref="BD2:BE16">
    <sortCondition ref="BD2"/>
  </sortState>
  <mergeCells count="1">
    <mergeCell ref="J3:J6"/>
  </mergeCells>
  <conditionalFormatting sqref="B292:B1048576">
    <cfRule type="cellIs" dxfId="320" priority="10" operator="equal">
      <formula>"true"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08051-20D6-4D0F-9968-1625852952D2}">
  <sheetPr codeName="Blad106"/>
  <dimension ref="A1:BS154"/>
  <sheetViews>
    <sheetView zoomScaleNormal="100" workbookViewId="0">
      <selection activeCell="A3" sqref="A3:G154"/>
    </sheetView>
  </sheetViews>
  <sheetFormatPr defaultRowHeight="14.4" x14ac:dyDescent="0.3"/>
  <cols>
    <col min="1" max="2" width="2.77734375" customWidth="1"/>
    <col min="3" max="3" width="2.44140625" customWidth="1"/>
    <col min="4" max="4" width="2.77734375" customWidth="1"/>
    <col min="5" max="5" width="11.6640625" bestFit="1" customWidth="1"/>
    <col min="6" max="31" width="2.77734375" customWidth="1"/>
    <col min="32" max="32" width="2.88671875" customWidth="1"/>
    <col min="33" max="97" width="2.77734375" customWidth="1"/>
  </cols>
  <sheetData>
    <row r="1" spans="1:71" x14ac:dyDescent="0.3">
      <c r="A1" s="31"/>
      <c r="B1" s="31"/>
      <c r="C1" s="31"/>
      <c r="D1" s="31"/>
      <c r="E1" s="31"/>
      <c r="F1" s="23"/>
      <c r="G1" s="23"/>
      <c r="I1" s="31" t="s">
        <v>26</v>
      </c>
      <c r="J1" s="31"/>
      <c r="K1" s="31"/>
      <c r="L1" s="31"/>
      <c r="M1" s="31"/>
      <c r="N1" s="31"/>
      <c r="O1" s="31"/>
      <c r="Q1" s="35" t="s">
        <v>157</v>
      </c>
      <c r="R1" s="35"/>
      <c r="S1" s="35"/>
      <c r="T1" s="35"/>
      <c r="U1" s="35"/>
      <c r="V1" s="35"/>
      <c r="W1" s="35"/>
      <c r="Y1" s="33" t="s">
        <v>119</v>
      </c>
      <c r="Z1" s="33"/>
      <c r="AA1" s="33"/>
      <c r="AB1" s="33"/>
      <c r="AC1" s="33"/>
      <c r="AD1" s="33"/>
      <c r="AE1" s="33"/>
      <c r="AG1" s="34" t="s">
        <v>137</v>
      </c>
      <c r="AH1" s="34"/>
      <c r="AI1" s="34"/>
      <c r="AJ1" s="34"/>
      <c r="AK1" s="34"/>
      <c r="AL1" s="34"/>
      <c r="AM1" s="34"/>
      <c r="AO1" s="32" t="s">
        <v>217</v>
      </c>
      <c r="AP1" s="32"/>
      <c r="AQ1" s="32"/>
      <c r="AR1" s="32"/>
      <c r="AS1" s="32"/>
      <c r="AT1" s="32"/>
      <c r="AU1" s="32"/>
      <c r="AW1" s="29" t="s">
        <v>302</v>
      </c>
      <c r="AX1" s="29"/>
      <c r="AY1" s="29"/>
      <c r="AZ1" s="29"/>
      <c r="BA1" s="29"/>
      <c r="BB1" s="29"/>
      <c r="BC1" s="29"/>
      <c r="BE1" s="30" t="s">
        <v>306</v>
      </c>
      <c r="BF1" s="30"/>
      <c r="BG1" s="30"/>
      <c r="BH1" s="30"/>
      <c r="BI1" s="30"/>
      <c r="BJ1" s="30"/>
      <c r="BK1" s="30"/>
      <c r="BM1" s="2" t="s">
        <v>401</v>
      </c>
      <c r="BN1" s="2"/>
      <c r="BO1" s="2"/>
      <c r="BP1" s="2"/>
      <c r="BQ1" s="2"/>
      <c r="BR1" s="2"/>
      <c r="BS1" s="2"/>
    </row>
    <row r="2" spans="1:71" x14ac:dyDescent="0.3">
      <c r="A2" s="23"/>
      <c r="B2" s="23"/>
      <c r="C2" s="23"/>
      <c r="D2" s="23"/>
      <c r="E2" s="23"/>
      <c r="F2" s="23"/>
      <c r="G2" s="23"/>
      <c r="I2" s="23"/>
      <c r="J2" s="23"/>
      <c r="K2" s="23"/>
      <c r="L2" s="23"/>
      <c r="M2" s="23"/>
      <c r="N2" s="23"/>
      <c r="O2" s="23"/>
      <c r="Q2" s="27"/>
      <c r="R2" s="27"/>
      <c r="S2" s="27"/>
      <c r="T2" s="27"/>
      <c r="U2" s="27"/>
      <c r="V2" s="27"/>
      <c r="W2" s="27"/>
      <c r="Y2" s="25"/>
      <c r="Z2" s="25"/>
      <c r="AA2" s="25"/>
      <c r="AB2" s="25"/>
      <c r="AC2" s="25"/>
      <c r="AD2" s="25"/>
      <c r="AE2" s="25"/>
      <c r="AG2" s="26"/>
      <c r="AH2" s="26"/>
      <c r="AI2" s="26"/>
      <c r="AJ2" s="26"/>
      <c r="AK2" s="26"/>
      <c r="AL2" s="26"/>
      <c r="AM2" s="26"/>
      <c r="AO2" s="24"/>
      <c r="AP2" s="24"/>
      <c r="AQ2" s="24"/>
      <c r="AR2" s="24"/>
      <c r="AS2" s="24"/>
      <c r="AT2" s="24"/>
      <c r="AU2" s="24"/>
      <c r="AW2" s="21"/>
      <c r="AX2" s="21"/>
      <c r="AY2" s="21"/>
      <c r="AZ2" s="21"/>
      <c r="BA2" s="21"/>
      <c r="BB2" s="21"/>
      <c r="BC2" s="21"/>
      <c r="BE2" s="22"/>
      <c r="BF2" s="22"/>
      <c r="BG2" s="22"/>
      <c r="BH2" s="22"/>
      <c r="BI2" s="22"/>
      <c r="BJ2" s="22"/>
      <c r="BK2" s="22"/>
      <c r="BM2" s="2"/>
      <c r="BN2" s="2"/>
      <c r="BO2" s="2"/>
      <c r="BP2" s="2"/>
      <c r="BQ2" s="2"/>
      <c r="BR2" s="2"/>
      <c r="BS2" s="2"/>
    </row>
    <row r="3" spans="1:71" x14ac:dyDescent="0.3">
      <c r="A3" s="18">
        <v>1</v>
      </c>
      <c r="B3" s="18" t="s">
        <v>1</v>
      </c>
      <c r="C3" s="18">
        <v>10</v>
      </c>
      <c r="D3" s="18">
        <v>0.25</v>
      </c>
      <c r="E3" s="18">
        <v>3.56</v>
      </c>
      <c r="F3" s="18" t="s">
        <v>19</v>
      </c>
      <c r="G3" s="18" t="s">
        <v>18</v>
      </c>
      <c r="I3" s="18">
        <v>1</v>
      </c>
      <c r="J3" s="18" t="s">
        <v>1</v>
      </c>
      <c r="K3" s="18">
        <v>10</v>
      </c>
      <c r="L3" s="18">
        <v>0.25</v>
      </c>
      <c r="M3" s="18">
        <v>3.56</v>
      </c>
      <c r="N3" s="18" t="s">
        <v>19</v>
      </c>
      <c r="O3" s="18" t="s">
        <v>18</v>
      </c>
      <c r="Q3" s="19">
        <v>70</v>
      </c>
      <c r="R3" s="19" t="s">
        <v>40</v>
      </c>
      <c r="S3" s="19">
        <v>45</v>
      </c>
      <c r="T3" s="19">
        <v>0.25</v>
      </c>
      <c r="U3" s="19">
        <v>-914.66</v>
      </c>
      <c r="V3" s="19" t="s">
        <v>158</v>
      </c>
      <c r="W3" s="19">
        <v>-816923895</v>
      </c>
      <c r="Y3" s="5">
        <v>1</v>
      </c>
      <c r="Z3" s="5" t="s">
        <v>1</v>
      </c>
      <c r="AA3" s="5">
        <v>15</v>
      </c>
      <c r="AB3" s="5">
        <v>0.25</v>
      </c>
      <c r="AC3" s="5">
        <v>6.94</v>
      </c>
      <c r="AD3" s="5" t="s">
        <v>38</v>
      </c>
      <c r="AE3" s="5">
        <v>-1312932563</v>
      </c>
      <c r="AG3" s="6">
        <v>1</v>
      </c>
      <c r="AH3" s="6" t="s">
        <v>1</v>
      </c>
      <c r="AI3" s="6">
        <v>11</v>
      </c>
      <c r="AJ3" s="6">
        <v>0.25</v>
      </c>
      <c r="AK3" s="6">
        <v>4.08</v>
      </c>
      <c r="AL3" s="6" t="s">
        <v>122</v>
      </c>
      <c r="AM3" s="6">
        <v>499873048</v>
      </c>
      <c r="AO3" s="17">
        <v>1</v>
      </c>
      <c r="AP3" s="17" t="s">
        <v>1</v>
      </c>
      <c r="AQ3" s="17">
        <v>19</v>
      </c>
      <c r="AR3" s="17">
        <v>0.25</v>
      </c>
      <c r="AS3" s="17">
        <v>11.86</v>
      </c>
      <c r="AT3" s="17" t="s">
        <v>177</v>
      </c>
      <c r="AU3" s="17">
        <v>21505973</v>
      </c>
      <c r="AW3" s="20">
        <v>1</v>
      </c>
      <c r="AX3" s="20" t="s">
        <v>1</v>
      </c>
      <c r="AY3" s="20">
        <v>13</v>
      </c>
      <c r="AZ3" s="20">
        <v>0.25</v>
      </c>
      <c r="BA3" s="20">
        <v>11.54</v>
      </c>
      <c r="BB3" s="20" t="s">
        <v>260</v>
      </c>
      <c r="BC3" s="20">
        <v>28463194</v>
      </c>
      <c r="BE3" s="8">
        <v>1</v>
      </c>
      <c r="BF3" s="8" t="s">
        <v>1</v>
      </c>
      <c r="BG3" s="8">
        <v>10</v>
      </c>
      <c r="BH3" s="8">
        <v>0.25</v>
      </c>
      <c r="BI3" s="8">
        <v>7.4400019999999998</v>
      </c>
      <c r="BJ3" s="8" t="s">
        <v>19</v>
      </c>
      <c r="BK3" s="8">
        <v>94725236</v>
      </c>
      <c r="BM3">
        <v>1</v>
      </c>
      <c r="BN3" t="s">
        <v>1</v>
      </c>
      <c r="BO3">
        <v>10</v>
      </c>
      <c r="BP3" t="s">
        <v>307</v>
      </c>
      <c r="BQ3" s="37">
        <v>7060001</v>
      </c>
      <c r="BR3" t="s">
        <v>19</v>
      </c>
      <c r="BS3">
        <v>64842033</v>
      </c>
    </row>
    <row r="4" spans="1:71" x14ac:dyDescent="0.3">
      <c r="A4" s="18">
        <v>1</v>
      </c>
      <c r="B4" s="18" t="s">
        <v>1</v>
      </c>
      <c r="C4" s="18">
        <v>16</v>
      </c>
      <c r="D4" s="18">
        <v>0.25</v>
      </c>
      <c r="E4" s="18">
        <v>5.5</v>
      </c>
      <c r="F4" s="18" t="s">
        <v>36</v>
      </c>
      <c r="G4" s="18" t="s">
        <v>18</v>
      </c>
      <c r="I4" s="18">
        <v>1</v>
      </c>
      <c r="J4" s="18" t="s">
        <v>1</v>
      </c>
      <c r="K4" s="18">
        <v>16</v>
      </c>
      <c r="L4" s="18">
        <v>0.25</v>
      </c>
      <c r="M4" s="18">
        <v>5.5</v>
      </c>
      <c r="N4" s="18" t="s">
        <v>36</v>
      </c>
      <c r="O4" s="18" t="s">
        <v>18</v>
      </c>
      <c r="Q4" s="19">
        <v>70</v>
      </c>
      <c r="R4" s="19" t="s">
        <v>40</v>
      </c>
      <c r="S4" s="19">
        <v>37</v>
      </c>
      <c r="T4" s="19">
        <v>0.25</v>
      </c>
      <c r="U4" s="19">
        <v>-950.72</v>
      </c>
      <c r="V4" s="19" t="s">
        <v>159</v>
      </c>
      <c r="W4" s="19">
        <v>752447797</v>
      </c>
      <c r="Y4" s="5">
        <v>2</v>
      </c>
      <c r="Z4" s="5" t="s">
        <v>1</v>
      </c>
      <c r="AA4" s="5">
        <v>97</v>
      </c>
      <c r="AB4" s="5">
        <v>0.25</v>
      </c>
      <c r="AC4" s="5">
        <v>36.82</v>
      </c>
      <c r="AD4" s="5" t="s">
        <v>39</v>
      </c>
      <c r="AE4" s="5">
        <v>1213723875</v>
      </c>
      <c r="AG4" s="6">
        <v>1</v>
      </c>
      <c r="AH4" s="6" t="s">
        <v>1</v>
      </c>
      <c r="AI4" s="6">
        <v>11</v>
      </c>
      <c r="AJ4" s="6">
        <v>0.25</v>
      </c>
      <c r="AK4" s="6">
        <v>4.0399989999999999</v>
      </c>
      <c r="AL4" s="6" t="s">
        <v>122</v>
      </c>
      <c r="AM4" s="6">
        <v>-1255043675</v>
      </c>
      <c r="AO4" s="17">
        <v>2</v>
      </c>
      <c r="AP4" s="17" t="s">
        <v>1</v>
      </c>
      <c r="AQ4" s="17">
        <v>95</v>
      </c>
      <c r="AR4" s="17">
        <v>0.25</v>
      </c>
      <c r="AS4" s="17">
        <v>62.9</v>
      </c>
      <c r="AT4" s="17" t="s">
        <v>178</v>
      </c>
      <c r="AU4" s="17">
        <v>341</v>
      </c>
      <c r="AW4" s="20">
        <v>2</v>
      </c>
      <c r="AX4" s="20" t="s">
        <v>1</v>
      </c>
      <c r="AY4" s="20">
        <v>105</v>
      </c>
      <c r="AZ4" s="20">
        <v>0.25</v>
      </c>
      <c r="BA4" s="20">
        <v>68.679990000000004</v>
      </c>
      <c r="BB4" s="20" t="s">
        <v>261</v>
      </c>
      <c r="BC4" s="20">
        <v>393</v>
      </c>
      <c r="BE4" s="8">
        <v>2</v>
      </c>
      <c r="BF4" s="8" t="s">
        <v>1</v>
      </c>
      <c r="BG4" s="8">
        <v>101</v>
      </c>
      <c r="BH4" s="8">
        <v>0.25</v>
      </c>
      <c r="BI4" s="8">
        <v>79.34</v>
      </c>
      <c r="BJ4" s="8" t="s">
        <v>303</v>
      </c>
      <c r="BK4" s="8">
        <v>338534748</v>
      </c>
      <c r="BM4">
        <v>2</v>
      </c>
      <c r="BN4" t="s">
        <v>1</v>
      </c>
      <c r="BO4">
        <v>95</v>
      </c>
      <c r="BP4" t="s">
        <v>307</v>
      </c>
      <c r="BQ4" t="s">
        <v>308</v>
      </c>
      <c r="BR4" t="s">
        <v>309</v>
      </c>
      <c r="BS4">
        <v>340</v>
      </c>
    </row>
    <row r="5" spans="1:71" x14ac:dyDescent="0.3">
      <c r="A5" s="18">
        <v>1</v>
      </c>
      <c r="B5" s="18" t="s">
        <v>1</v>
      </c>
      <c r="C5" s="18">
        <v>10</v>
      </c>
      <c r="D5" s="18">
        <v>1E-3</v>
      </c>
      <c r="E5" s="18">
        <v>2.4600029999999999</v>
      </c>
      <c r="F5" s="18" t="s">
        <v>19</v>
      </c>
      <c r="G5" s="18" t="s">
        <v>18</v>
      </c>
      <c r="I5" s="18">
        <v>1</v>
      </c>
      <c r="J5" s="18" t="s">
        <v>1</v>
      </c>
      <c r="K5" s="18">
        <v>10</v>
      </c>
      <c r="L5" s="18">
        <v>1E-3</v>
      </c>
      <c r="M5" s="18">
        <v>2.4600029999999999</v>
      </c>
      <c r="N5" s="18" t="s">
        <v>19</v>
      </c>
      <c r="O5" s="18" t="s">
        <v>18</v>
      </c>
      <c r="Q5" s="19">
        <v>70</v>
      </c>
      <c r="R5" s="19" t="s">
        <v>40</v>
      </c>
      <c r="S5" s="19">
        <v>33</v>
      </c>
      <c r="T5" s="19">
        <v>0.25</v>
      </c>
      <c r="U5" s="19">
        <v>-1032.42</v>
      </c>
      <c r="V5" s="19" t="s">
        <v>160</v>
      </c>
      <c r="W5" s="19">
        <v>-285869250</v>
      </c>
      <c r="Y5" s="5">
        <v>3</v>
      </c>
      <c r="Z5" s="5" t="s">
        <v>40</v>
      </c>
      <c r="AA5" s="5">
        <v>52</v>
      </c>
      <c r="AB5" s="5">
        <v>0.25</v>
      </c>
      <c r="AC5" s="5">
        <v>-9.3399959999999993</v>
      </c>
      <c r="AD5" s="5" t="s">
        <v>41</v>
      </c>
      <c r="AE5" s="5">
        <v>723445069</v>
      </c>
      <c r="AG5" s="6">
        <v>2</v>
      </c>
      <c r="AH5" s="6" t="s">
        <v>1</v>
      </c>
      <c r="AI5" s="6">
        <v>99</v>
      </c>
      <c r="AJ5" s="6">
        <v>0.25</v>
      </c>
      <c r="AK5" s="6">
        <v>46.92</v>
      </c>
      <c r="AL5" s="6" t="s">
        <v>123</v>
      </c>
      <c r="AM5" s="6">
        <v>265536218</v>
      </c>
      <c r="AO5" s="17">
        <v>3</v>
      </c>
      <c r="AP5" s="17" t="s">
        <v>40</v>
      </c>
      <c r="AQ5" s="17">
        <v>18</v>
      </c>
      <c r="AR5" s="17">
        <v>0.25</v>
      </c>
      <c r="AS5" s="15">
        <v>-10.48</v>
      </c>
      <c r="AT5" s="17" t="s">
        <v>179</v>
      </c>
      <c r="AU5" s="17">
        <v>9830848</v>
      </c>
      <c r="AW5" s="20">
        <v>20</v>
      </c>
      <c r="AX5" s="20" t="s">
        <v>40</v>
      </c>
      <c r="AY5" s="20">
        <v>21</v>
      </c>
      <c r="AZ5" s="20">
        <v>0.25</v>
      </c>
      <c r="BA5" s="20">
        <v>19.579989999999999</v>
      </c>
      <c r="BB5" s="20">
        <v>14.3</v>
      </c>
      <c r="BC5" s="20">
        <v>12426112</v>
      </c>
      <c r="BE5" s="8">
        <v>3</v>
      </c>
      <c r="BF5" s="8" t="s">
        <v>1</v>
      </c>
      <c r="BG5" s="8">
        <v>127</v>
      </c>
      <c r="BH5" s="8">
        <v>0.25</v>
      </c>
      <c r="BI5" s="8">
        <v>115.62</v>
      </c>
      <c r="BJ5" s="8" t="s">
        <v>304</v>
      </c>
      <c r="BK5" s="8">
        <v>441</v>
      </c>
      <c r="BM5">
        <v>3</v>
      </c>
      <c r="BN5" t="s">
        <v>1</v>
      </c>
      <c r="BO5">
        <v>124</v>
      </c>
      <c r="BP5" t="s">
        <v>307</v>
      </c>
      <c r="BQ5" t="s">
        <v>310</v>
      </c>
      <c r="BR5" t="s">
        <v>311</v>
      </c>
      <c r="BS5">
        <v>441</v>
      </c>
    </row>
    <row r="6" spans="1:71" x14ac:dyDescent="0.3">
      <c r="A6" s="18">
        <v>1</v>
      </c>
      <c r="B6" s="18" t="s">
        <v>1</v>
      </c>
      <c r="C6" s="18">
        <v>10</v>
      </c>
      <c r="D6" s="18">
        <v>0.25</v>
      </c>
      <c r="E6" s="18">
        <v>5</v>
      </c>
      <c r="F6" s="18" t="s">
        <v>19</v>
      </c>
      <c r="G6" s="18" t="s">
        <v>18</v>
      </c>
      <c r="I6" s="18">
        <v>1</v>
      </c>
      <c r="J6" s="18" t="s">
        <v>1</v>
      </c>
      <c r="K6" s="18">
        <v>10</v>
      </c>
      <c r="L6" s="18">
        <v>0.25</v>
      </c>
      <c r="M6" s="18">
        <v>5</v>
      </c>
      <c r="N6" s="18" t="s">
        <v>19</v>
      </c>
      <c r="O6" s="18" t="s">
        <v>18</v>
      </c>
      <c r="Q6" s="19">
        <v>70</v>
      </c>
      <c r="R6" s="19" t="s">
        <v>40</v>
      </c>
      <c r="S6" s="19">
        <v>140</v>
      </c>
      <c r="T6" s="19">
        <v>0.25</v>
      </c>
      <c r="U6" s="19">
        <v>-1211.02</v>
      </c>
      <c r="V6" s="19" t="s">
        <v>161</v>
      </c>
      <c r="W6" s="19">
        <v>1235098101</v>
      </c>
      <c r="Y6" s="5">
        <v>3</v>
      </c>
      <c r="Z6" s="5" t="s">
        <v>1</v>
      </c>
      <c r="AA6" s="5">
        <v>124</v>
      </c>
      <c r="AB6" s="5">
        <v>0.25</v>
      </c>
      <c r="AC6" s="5">
        <v>64.819990000000004</v>
      </c>
      <c r="AD6" s="5" t="s">
        <v>42</v>
      </c>
      <c r="AE6" s="5">
        <v>-1041726693</v>
      </c>
      <c r="AG6" s="6">
        <v>3</v>
      </c>
      <c r="AH6" s="6" t="s">
        <v>1</v>
      </c>
      <c r="AI6" s="6">
        <v>130</v>
      </c>
      <c r="AJ6" s="6">
        <v>0.25</v>
      </c>
      <c r="AK6" s="6">
        <v>105.2</v>
      </c>
      <c r="AL6" s="6" t="s">
        <v>124</v>
      </c>
      <c r="AM6" s="6">
        <v>-389845527</v>
      </c>
      <c r="AO6" s="17">
        <v>3</v>
      </c>
      <c r="AP6" s="17" t="s">
        <v>40</v>
      </c>
      <c r="AQ6" s="17">
        <v>18</v>
      </c>
      <c r="AR6" s="17">
        <v>0.25</v>
      </c>
      <c r="AS6" s="15">
        <v>-95.56</v>
      </c>
      <c r="AT6" s="15">
        <v>55.3</v>
      </c>
      <c r="AU6" s="17">
        <v>63234644</v>
      </c>
      <c r="AW6" s="20">
        <v>20</v>
      </c>
      <c r="AX6" s="20" t="s">
        <v>40</v>
      </c>
      <c r="AY6" s="20">
        <v>43</v>
      </c>
      <c r="AZ6" s="20">
        <v>0.25</v>
      </c>
      <c r="BA6" s="20">
        <v>25.579989999999999</v>
      </c>
      <c r="BB6" s="20" t="s">
        <v>262</v>
      </c>
      <c r="BC6" s="20">
        <v>67520214</v>
      </c>
      <c r="BE6" s="8">
        <v>4</v>
      </c>
      <c r="BF6" s="8" t="s">
        <v>1</v>
      </c>
      <c r="BG6" s="8">
        <v>36</v>
      </c>
      <c r="BH6" s="8">
        <v>0.25</v>
      </c>
      <c r="BI6" s="8">
        <v>25.34</v>
      </c>
      <c r="BJ6" s="8" t="s">
        <v>305</v>
      </c>
      <c r="BK6" s="8">
        <v>116389622</v>
      </c>
      <c r="BM6">
        <v>4</v>
      </c>
      <c r="BN6" t="s">
        <v>40</v>
      </c>
      <c r="BO6">
        <v>33</v>
      </c>
      <c r="BP6" t="s">
        <v>307</v>
      </c>
      <c r="BQ6" s="37">
        <v>2477998</v>
      </c>
      <c r="BR6" t="s">
        <v>312</v>
      </c>
      <c r="BS6">
        <v>184</v>
      </c>
    </row>
    <row r="7" spans="1:71" x14ac:dyDescent="0.3">
      <c r="A7" s="18">
        <v>1</v>
      </c>
      <c r="B7" s="18" t="s">
        <v>1</v>
      </c>
      <c r="C7" s="18">
        <v>10</v>
      </c>
      <c r="D7" s="18">
        <v>0.25</v>
      </c>
      <c r="E7" s="18">
        <v>8.2200009999999999</v>
      </c>
      <c r="F7" s="18" t="s">
        <v>19</v>
      </c>
      <c r="G7" s="18" t="s">
        <v>18</v>
      </c>
      <c r="I7" s="18">
        <v>1</v>
      </c>
      <c r="J7" s="18" t="s">
        <v>1</v>
      </c>
      <c r="K7" s="18">
        <v>10</v>
      </c>
      <c r="L7" s="18">
        <v>0.25</v>
      </c>
      <c r="M7" s="18">
        <v>8.2200009999999999</v>
      </c>
      <c r="N7" s="18" t="s">
        <v>19</v>
      </c>
      <c r="O7" s="18" t="s">
        <v>18</v>
      </c>
      <c r="Q7" s="19">
        <v>70</v>
      </c>
      <c r="R7" s="19" t="s">
        <v>1</v>
      </c>
      <c r="S7" s="19">
        <v>60</v>
      </c>
      <c r="T7" s="19">
        <v>0.25</v>
      </c>
      <c r="U7" s="19">
        <v>37.880000000000003</v>
      </c>
      <c r="V7" s="19" t="s">
        <v>162</v>
      </c>
      <c r="W7" s="19">
        <v>1774659124</v>
      </c>
      <c r="Y7" s="5">
        <v>4</v>
      </c>
      <c r="Z7" s="5" t="s">
        <v>1</v>
      </c>
      <c r="AA7" s="5">
        <v>40</v>
      </c>
      <c r="AB7" s="5">
        <v>0.25</v>
      </c>
      <c r="AC7" s="5">
        <v>26.36</v>
      </c>
      <c r="AD7" s="5" t="s">
        <v>43</v>
      </c>
      <c r="AE7" s="5">
        <v>755759967</v>
      </c>
      <c r="AG7" s="6">
        <v>4</v>
      </c>
      <c r="AH7" s="6" t="s">
        <v>1</v>
      </c>
      <c r="AI7" s="6">
        <v>42</v>
      </c>
      <c r="AJ7" s="6">
        <v>0.25</v>
      </c>
      <c r="AK7" s="16">
        <v>412.04</v>
      </c>
      <c r="AL7" s="6" t="s">
        <v>125</v>
      </c>
      <c r="AM7" s="6">
        <v>-571653614</v>
      </c>
      <c r="AO7" s="17">
        <v>3</v>
      </c>
      <c r="AP7" s="17" t="s">
        <v>40</v>
      </c>
      <c r="AQ7" s="17">
        <v>22</v>
      </c>
      <c r="AR7" s="17">
        <v>0.25</v>
      </c>
      <c r="AS7" s="15">
        <v>-97.679990000000004</v>
      </c>
      <c r="AT7" s="15" t="s">
        <v>180</v>
      </c>
      <c r="AU7" s="17">
        <v>123972563</v>
      </c>
      <c r="AW7" s="20">
        <v>20</v>
      </c>
      <c r="AX7" s="20" t="s">
        <v>40</v>
      </c>
      <c r="AY7" s="20">
        <v>10</v>
      </c>
      <c r="AZ7" s="20">
        <v>0.25</v>
      </c>
      <c r="BA7" s="20">
        <v>7</v>
      </c>
      <c r="BB7" s="20" t="s">
        <v>263</v>
      </c>
      <c r="BC7" s="20">
        <v>5990482</v>
      </c>
      <c r="BE7" s="8">
        <v>5</v>
      </c>
      <c r="BF7" s="8" t="s">
        <v>1</v>
      </c>
      <c r="BG7" s="8">
        <v>52</v>
      </c>
      <c r="BH7" s="8">
        <v>0.25</v>
      </c>
      <c r="BI7" s="8">
        <v>42.48001</v>
      </c>
      <c r="BJ7" s="8" t="s">
        <v>190</v>
      </c>
      <c r="BK7" s="8">
        <v>126777194</v>
      </c>
      <c r="BM7">
        <v>4</v>
      </c>
      <c r="BN7" t="s">
        <v>40</v>
      </c>
      <c r="BO7">
        <v>10</v>
      </c>
      <c r="BP7" t="s">
        <v>307</v>
      </c>
      <c r="BQ7" s="37">
        <v>1658002</v>
      </c>
      <c r="BR7" t="s">
        <v>313</v>
      </c>
      <c r="BS7">
        <v>24312103</v>
      </c>
    </row>
    <row r="8" spans="1:71" x14ac:dyDescent="0.3">
      <c r="A8" s="18">
        <v>2</v>
      </c>
      <c r="B8" s="18" t="s">
        <v>1</v>
      </c>
      <c r="C8" s="18">
        <v>93</v>
      </c>
      <c r="D8" s="18">
        <v>0.25</v>
      </c>
      <c r="E8" s="18">
        <v>32.64</v>
      </c>
      <c r="F8" s="18" t="s">
        <v>30</v>
      </c>
      <c r="G8" s="18" t="s">
        <v>18</v>
      </c>
      <c r="I8" s="18">
        <v>2</v>
      </c>
      <c r="J8" s="18" t="s">
        <v>1</v>
      </c>
      <c r="K8" s="18">
        <v>93</v>
      </c>
      <c r="L8" s="18">
        <v>0.25</v>
      </c>
      <c r="M8" s="18">
        <v>32.64</v>
      </c>
      <c r="N8" s="18" t="s">
        <v>30</v>
      </c>
      <c r="O8" s="18" t="s">
        <v>18</v>
      </c>
      <c r="Q8" s="19">
        <v>71</v>
      </c>
      <c r="R8" s="19" t="s">
        <v>1</v>
      </c>
      <c r="S8" s="19">
        <v>61</v>
      </c>
      <c r="T8" s="19">
        <v>0.25</v>
      </c>
      <c r="U8" s="19">
        <v>31.64001</v>
      </c>
      <c r="V8" s="19" t="s">
        <v>163</v>
      </c>
      <c r="W8" s="19">
        <v>729240845</v>
      </c>
      <c r="Y8" s="5">
        <v>5</v>
      </c>
      <c r="Z8" s="5" t="s">
        <v>40</v>
      </c>
      <c r="AA8" s="5">
        <v>13</v>
      </c>
      <c r="AB8" s="5">
        <v>0.25</v>
      </c>
      <c r="AC8" s="5">
        <v>-4.0200040000000001</v>
      </c>
      <c r="AD8" s="5" t="s">
        <v>44</v>
      </c>
      <c r="AE8" s="5">
        <v>1038733798</v>
      </c>
      <c r="AG8" s="6">
        <v>5</v>
      </c>
      <c r="AH8" s="6" t="s">
        <v>1</v>
      </c>
      <c r="AI8" s="6">
        <v>56</v>
      </c>
      <c r="AJ8" s="6">
        <v>0.25</v>
      </c>
      <c r="AK8" s="6">
        <v>45.640009999999997</v>
      </c>
      <c r="AL8" s="6" t="s">
        <v>126</v>
      </c>
      <c r="AM8" s="6">
        <v>1619873585</v>
      </c>
      <c r="AO8" s="17">
        <v>3</v>
      </c>
      <c r="AP8" s="17" t="s">
        <v>40</v>
      </c>
      <c r="AQ8" s="17">
        <v>50</v>
      </c>
      <c r="AR8" s="17">
        <v>0.25</v>
      </c>
      <c r="AS8" s="17">
        <v>61.940010000000001</v>
      </c>
      <c r="AT8" s="15" t="s">
        <v>181</v>
      </c>
      <c r="AU8" s="17">
        <v>9842737</v>
      </c>
      <c r="AW8" s="20">
        <v>20</v>
      </c>
      <c r="AX8" s="20" t="s">
        <v>40</v>
      </c>
      <c r="AY8" s="20">
        <v>13</v>
      </c>
      <c r="AZ8" s="20">
        <v>0.25</v>
      </c>
      <c r="BA8" s="20">
        <v>7.6199950000000003</v>
      </c>
      <c r="BB8" s="20" t="s">
        <v>264</v>
      </c>
      <c r="BC8" s="20">
        <v>125452936</v>
      </c>
      <c r="BM8">
        <v>4</v>
      </c>
      <c r="BN8" t="s">
        <v>1</v>
      </c>
      <c r="BO8">
        <v>36</v>
      </c>
      <c r="BP8" t="s">
        <v>307</v>
      </c>
      <c r="BQ8" t="s">
        <v>314</v>
      </c>
      <c r="BR8" t="s">
        <v>305</v>
      </c>
      <c r="BS8">
        <v>116389622</v>
      </c>
    </row>
    <row r="9" spans="1:71" x14ac:dyDescent="0.3">
      <c r="A9" s="18">
        <v>3</v>
      </c>
      <c r="B9" s="18" t="s">
        <v>1</v>
      </c>
      <c r="C9" s="18">
        <v>121</v>
      </c>
      <c r="D9" s="18">
        <v>0.25</v>
      </c>
      <c r="E9" s="18">
        <v>41.44</v>
      </c>
      <c r="F9" s="18" t="s">
        <v>31</v>
      </c>
      <c r="G9" s="18" t="s">
        <v>18</v>
      </c>
      <c r="I9" s="18">
        <v>3</v>
      </c>
      <c r="J9" s="18" t="s">
        <v>1</v>
      </c>
      <c r="K9" s="18">
        <v>121</v>
      </c>
      <c r="L9" s="18">
        <v>0.25</v>
      </c>
      <c r="M9" s="18">
        <v>41.44</v>
      </c>
      <c r="N9" s="18" t="s">
        <v>31</v>
      </c>
      <c r="O9" s="18" t="s">
        <v>18</v>
      </c>
      <c r="Q9" s="19"/>
      <c r="R9" s="19"/>
      <c r="S9" s="19"/>
      <c r="T9" s="19"/>
      <c r="U9" s="19"/>
      <c r="V9" s="19"/>
      <c r="W9" s="19"/>
      <c r="Y9" s="5">
        <v>5</v>
      </c>
      <c r="Z9" s="5" t="s">
        <v>1</v>
      </c>
      <c r="AA9" s="5">
        <v>50</v>
      </c>
      <c r="AB9" s="5">
        <v>0.25</v>
      </c>
      <c r="AC9" s="5">
        <v>19.540009999999999</v>
      </c>
      <c r="AD9" s="5" t="s">
        <v>33</v>
      </c>
      <c r="AE9" s="5">
        <v>-1131051632</v>
      </c>
      <c r="AG9" s="6">
        <v>6</v>
      </c>
      <c r="AH9" s="6" t="s">
        <v>40</v>
      </c>
      <c r="AI9" s="6">
        <v>59</v>
      </c>
      <c r="AJ9" s="6">
        <v>0.25</v>
      </c>
      <c r="AK9" s="6">
        <v>-5.9997559999999998E-2</v>
      </c>
      <c r="AL9" s="6" t="s">
        <v>127</v>
      </c>
      <c r="AM9" s="6">
        <v>-656151754</v>
      </c>
      <c r="AO9" s="17">
        <v>3</v>
      </c>
      <c r="AP9" s="17" t="s">
        <v>40</v>
      </c>
      <c r="AQ9" s="17">
        <v>31</v>
      </c>
      <c r="AR9" s="17">
        <v>0.25</v>
      </c>
      <c r="AS9" s="15">
        <v>-112.06</v>
      </c>
      <c r="AT9" s="17" t="s">
        <v>182</v>
      </c>
      <c r="AU9" s="17">
        <v>29670153</v>
      </c>
      <c r="AW9" s="20">
        <v>20</v>
      </c>
      <c r="AX9" s="20" t="s">
        <v>40</v>
      </c>
      <c r="AY9" s="20">
        <v>38</v>
      </c>
      <c r="AZ9" s="20">
        <v>0.25</v>
      </c>
      <c r="BA9" s="20">
        <v>30.42</v>
      </c>
      <c r="BB9" s="20" t="s">
        <v>265</v>
      </c>
      <c r="BC9" s="20">
        <v>57600169</v>
      </c>
      <c r="BM9">
        <v>5</v>
      </c>
      <c r="BN9" t="s">
        <v>1</v>
      </c>
      <c r="BO9">
        <v>50</v>
      </c>
      <c r="BP9" t="s">
        <v>307</v>
      </c>
      <c r="BQ9" s="37">
        <v>3135999</v>
      </c>
      <c r="BR9" t="s">
        <v>33</v>
      </c>
      <c r="BS9">
        <v>41328249</v>
      </c>
    </row>
    <row r="10" spans="1:71" x14ac:dyDescent="0.3">
      <c r="A10" s="18">
        <v>4</v>
      </c>
      <c r="B10" s="18" t="s">
        <v>1</v>
      </c>
      <c r="C10" s="18">
        <v>33</v>
      </c>
      <c r="D10" s="18">
        <v>0.25</v>
      </c>
      <c r="E10" s="18">
        <v>12.1</v>
      </c>
      <c r="F10" s="18" t="s">
        <v>32</v>
      </c>
      <c r="G10" s="18" t="s">
        <v>18</v>
      </c>
      <c r="I10" s="18">
        <v>4</v>
      </c>
      <c r="J10" s="18" t="s">
        <v>1</v>
      </c>
      <c r="K10" s="18">
        <v>33</v>
      </c>
      <c r="L10" s="18">
        <v>0.25</v>
      </c>
      <c r="M10" s="18">
        <v>12.1</v>
      </c>
      <c r="N10" s="18" t="s">
        <v>32</v>
      </c>
      <c r="O10" s="18" t="s">
        <v>18</v>
      </c>
      <c r="Q10" s="19">
        <v>73</v>
      </c>
      <c r="R10" s="19" t="s">
        <v>1</v>
      </c>
      <c r="S10" s="19">
        <v>61</v>
      </c>
      <c r="T10" s="19">
        <v>0.25</v>
      </c>
      <c r="U10" s="19">
        <v>20.959959999999999</v>
      </c>
      <c r="V10" s="19" t="s">
        <v>165</v>
      </c>
      <c r="W10" s="19">
        <v>-828393125</v>
      </c>
      <c r="Y10" s="5">
        <v>6</v>
      </c>
      <c r="Z10" s="5" t="s">
        <v>40</v>
      </c>
      <c r="AA10" s="5">
        <v>59</v>
      </c>
      <c r="AB10" s="5">
        <v>0.25</v>
      </c>
      <c r="AC10" s="5">
        <v>-5.420013</v>
      </c>
      <c r="AD10" s="5" t="s">
        <v>45</v>
      </c>
      <c r="AE10" s="5">
        <v>733716897</v>
      </c>
      <c r="AG10" s="6">
        <v>6</v>
      </c>
      <c r="AH10" s="6" t="s">
        <v>1</v>
      </c>
      <c r="AI10" s="6">
        <v>173</v>
      </c>
      <c r="AJ10" s="6">
        <v>0.25</v>
      </c>
      <c r="AK10" s="6">
        <v>81.239990000000006</v>
      </c>
      <c r="AL10" s="6" t="s">
        <v>128</v>
      </c>
      <c r="AM10" s="6">
        <v>1131435479</v>
      </c>
      <c r="AO10" s="17">
        <v>3</v>
      </c>
      <c r="AP10" s="17" t="s">
        <v>40</v>
      </c>
      <c r="AQ10" s="17">
        <v>42</v>
      </c>
      <c r="AR10" s="17">
        <v>0.25</v>
      </c>
      <c r="AS10" s="15">
        <v>-139.04</v>
      </c>
      <c r="AT10" s="17" t="s">
        <v>183</v>
      </c>
      <c r="AU10" s="17">
        <v>37790900</v>
      </c>
      <c r="AW10" s="20">
        <v>20</v>
      </c>
      <c r="AX10" s="20" t="s">
        <v>40</v>
      </c>
      <c r="AY10" s="20">
        <v>10</v>
      </c>
      <c r="AZ10" s="20">
        <v>0.25</v>
      </c>
      <c r="BA10" s="20">
        <v>8.0200040000000001</v>
      </c>
      <c r="BB10" s="20" t="s">
        <v>266</v>
      </c>
      <c r="BC10" s="20">
        <v>64204254</v>
      </c>
      <c r="BM10">
        <v>6</v>
      </c>
      <c r="BN10" t="s">
        <v>40</v>
      </c>
      <c r="BO10">
        <v>49</v>
      </c>
      <c r="BP10" t="s">
        <v>307</v>
      </c>
      <c r="BQ10" s="37">
        <v>4367999</v>
      </c>
      <c r="BR10" t="s">
        <v>315</v>
      </c>
      <c r="BS10">
        <v>141600240</v>
      </c>
    </row>
    <row r="11" spans="1:71" x14ac:dyDescent="0.3">
      <c r="A11" s="18">
        <v>5</v>
      </c>
      <c r="B11" s="18" t="s">
        <v>1</v>
      </c>
      <c r="C11" s="18">
        <v>50</v>
      </c>
      <c r="D11" s="18">
        <v>0.25</v>
      </c>
      <c r="E11" s="18">
        <v>17.579999999999998</v>
      </c>
      <c r="F11" s="18" t="s">
        <v>33</v>
      </c>
      <c r="G11" s="18" t="s">
        <v>18</v>
      </c>
      <c r="I11" s="18">
        <v>5</v>
      </c>
      <c r="J11" s="18" t="s">
        <v>1</v>
      </c>
      <c r="K11" s="18">
        <v>50</v>
      </c>
      <c r="L11" s="18">
        <v>0.25</v>
      </c>
      <c r="M11" s="18">
        <v>17.579999999999998</v>
      </c>
      <c r="N11" s="18" t="s">
        <v>33</v>
      </c>
      <c r="O11" s="18" t="s">
        <v>18</v>
      </c>
      <c r="Q11" s="19">
        <v>74</v>
      </c>
      <c r="R11" s="19" t="s">
        <v>40</v>
      </c>
      <c r="S11" s="19">
        <v>28</v>
      </c>
      <c r="T11" s="19">
        <v>0.25</v>
      </c>
      <c r="U11" s="19">
        <v>-54.92</v>
      </c>
      <c r="V11" s="19" t="s">
        <v>167</v>
      </c>
      <c r="W11" s="19">
        <v>1141881009</v>
      </c>
      <c r="Y11" s="5">
        <v>6</v>
      </c>
      <c r="Z11" s="5" t="s">
        <v>40</v>
      </c>
      <c r="AA11" s="5">
        <v>48</v>
      </c>
      <c r="AB11" s="5">
        <v>0.25</v>
      </c>
      <c r="AC11" s="5">
        <v>-53.66</v>
      </c>
      <c r="AD11" s="5" t="s">
        <v>46</v>
      </c>
      <c r="AE11" s="5">
        <v>-1800093261</v>
      </c>
      <c r="AG11" s="6">
        <v>7</v>
      </c>
      <c r="AH11" s="6" t="s">
        <v>40</v>
      </c>
      <c r="AI11" s="6">
        <v>7</v>
      </c>
      <c r="AJ11" s="6">
        <v>0.25</v>
      </c>
      <c r="AK11" s="6">
        <v>-1.7800290000000001</v>
      </c>
      <c r="AL11" s="6" t="s">
        <v>129</v>
      </c>
      <c r="AM11" s="6">
        <v>506739081</v>
      </c>
      <c r="AO11" s="17">
        <v>3</v>
      </c>
      <c r="AP11" s="17" t="s">
        <v>40</v>
      </c>
      <c r="AQ11" s="17">
        <v>42</v>
      </c>
      <c r="AR11" s="17">
        <v>0.82199999999999995</v>
      </c>
      <c r="AS11" s="15">
        <v>-170.92</v>
      </c>
      <c r="AT11" s="15">
        <v>36.86</v>
      </c>
      <c r="AU11" s="17">
        <v>71432658</v>
      </c>
      <c r="AW11" s="20">
        <v>20</v>
      </c>
      <c r="AX11" s="20" t="s">
        <v>40</v>
      </c>
      <c r="AY11" s="20">
        <v>15</v>
      </c>
      <c r="AZ11" s="20">
        <v>0.25</v>
      </c>
      <c r="BA11" s="20">
        <v>12.379989999999999</v>
      </c>
      <c r="BB11" s="20" t="s">
        <v>267</v>
      </c>
      <c r="BC11" s="20">
        <v>67513574</v>
      </c>
      <c r="BM11">
        <v>6</v>
      </c>
      <c r="BN11" t="s">
        <v>40</v>
      </c>
      <c r="BO11">
        <v>124</v>
      </c>
      <c r="BP11" t="s">
        <v>307</v>
      </c>
      <c r="BQ11" s="37">
        <v>6526001</v>
      </c>
      <c r="BR11" t="s">
        <v>316</v>
      </c>
      <c r="BS11">
        <v>397</v>
      </c>
    </row>
    <row r="12" spans="1:71" x14ac:dyDescent="0.3">
      <c r="A12" s="18">
        <v>7</v>
      </c>
      <c r="B12" s="18" t="s">
        <v>1</v>
      </c>
      <c r="C12" s="18">
        <v>65</v>
      </c>
      <c r="D12" s="18">
        <v>0.25</v>
      </c>
      <c r="E12" s="18">
        <v>25.16</v>
      </c>
      <c r="F12" s="18" t="s">
        <v>34</v>
      </c>
      <c r="G12" s="18" t="s">
        <v>18</v>
      </c>
      <c r="I12" s="18">
        <v>7</v>
      </c>
      <c r="J12" s="18" t="s">
        <v>1</v>
      </c>
      <c r="K12" s="18">
        <v>65</v>
      </c>
      <c r="L12" s="18">
        <v>0.25</v>
      </c>
      <c r="M12" s="18">
        <v>25.16</v>
      </c>
      <c r="N12" s="18" t="s">
        <v>34</v>
      </c>
      <c r="O12" s="18" t="s">
        <v>18</v>
      </c>
      <c r="Q12" s="19">
        <v>74</v>
      </c>
      <c r="R12" s="19" t="s">
        <v>1</v>
      </c>
      <c r="S12" s="19">
        <v>95</v>
      </c>
      <c r="T12" s="19">
        <v>0.25</v>
      </c>
      <c r="U12" s="19">
        <v>35.700000000000003</v>
      </c>
      <c r="V12" s="19" t="s">
        <v>168</v>
      </c>
      <c r="W12" s="19">
        <v>-2081999296</v>
      </c>
      <c r="Y12" s="5">
        <v>6</v>
      </c>
      <c r="Z12" s="5" t="s">
        <v>40</v>
      </c>
      <c r="AA12" s="5">
        <v>32</v>
      </c>
      <c r="AB12" s="5">
        <v>0.25</v>
      </c>
      <c r="AC12" s="5">
        <v>-76.22</v>
      </c>
      <c r="AD12" s="5" t="s">
        <v>47</v>
      </c>
      <c r="AE12" s="5">
        <v>-1370418094</v>
      </c>
      <c r="AG12" s="6">
        <v>7</v>
      </c>
      <c r="AH12" s="6" t="s">
        <v>1</v>
      </c>
      <c r="AI12" s="6">
        <v>89</v>
      </c>
      <c r="AJ12" s="6">
        <v>0.25</v>
      </c>
      <c r="AK12" s="6">
        <v>85.57996</v>
      </c>
      <c r="AL12" s="6" t="s">
        <v>130</v>
      </c>
      <c r="AM12" s="6">
        <v>1746440696</v>
      </c>
      <c r="AO12" s="17">
        <v>3</v>
      </c>
      <c r="AP12" s="17" t="s">
        <v>1</v>
      </c>
      <c r="AQ12" s="17">
        <v>130</v>
      </c>
      <c r="AR12" s="17">
        <v>0.82199999999999995</v>
      </c>
      <c r="AS12" s="17">
        <v>126.12</v>
      </c>
      <c r="AT12" s="17" t="s">
        <v>184</v>
      </c>
      <c r="AU12" s="17">
        <v>452</v>
      </c>
      <c r="AW12" s="20">
        <v>20</v>
      </c>
      <c r="AX12" s="20" t="s">
        <v>40</v>
      </c>
      <c r="AY12" s="20">
        <v>19</v>
      </c>
      <c r="AZ12" s="20">
        <v>0.25</v>
      </c>
      <c r="BA12" s="20">
        <v>15.479979999999999</v>
      </c>
      <c r="BB12" s="20" t="s">
        <v>268</v>
      </c>
      <c r="BC12" s="20">
        <v>92198551</v>
      </c>
      <c r="BM12">
        <v>6</v>
      </c>
      <c r="BN12" t="s">
        <v>40</v>
      </c>
      <c r="BO12">
        <v>55</v>
      </c>
      <c r="BP12" t="s">
        <v>307</v>
      </c>
      <c r="BQ12" t="s">
        <v>317</v>
      </c>
      <c r="BR12" t="s">
        <v>318</v>
      </c>
      <c r="BS12">
        <v>63897817</v>
      </c>
    </row>
    <row r="13" spans="1:71" x14ac:dyDescent="0.3">
      <c r="A13" s="18">
        <v>8</v>
      </c>
      <c r="B13" s="18" t="s">
        <v>1</v>
      </c>
      <c r="C13" s="18">
        <v>72</v>
      </c>
      <c r="D13" s="18">
        <v>0.25</v>
      </c>
      <c r="E13" s="18">
        <v>24.44</v>
      </c>
      <c r="F13" s="18" t="s">
        <v>35</v>
      </c>
      <c r="G13" s="18" t="s">
        <v>18</v>
      </c>
      <c r="I13" s="18">
        <v>8</v>
      </c>
      <c r="J13" s="18" t="s">
        <v>1</v>
      </c>
      <c r="K13" s="18">
        <v>72</v>
      </c>
      <c r="L13" s="18">
        <v>0.25</v>
      </c>
      <c r="M13" s="18">
        <v>24.44</v>
      </c>
      <c r="N13" s="18" t="s">
        <v>35</v>
      </c>
      <c r="O13" s="18" t="s">
        <v>18</v>
      </c>
      <c r="Q13" s="19">
        <v>75</v>
      </c>
      <c r="R13" s="19" t="s">
        <v>1</v>
      </c>
      <c r="S13" s="19">
        <v>170</v>
      </c>
      <c r="T13" s="19">
        <v>0.25</v>
      </c>
      <c r="U13" s="19">
        <v>67.759990000000002</v>
      </c>
      <c r="V13" s="19" t="s">
        <v>169</v>
      </c>
      <c r="W13" s="19">
        <v>-61789180</v>
      </c>
      <c r="Y13" s="5">
        <v>6</v>
      </c>
      <c r="Z13" s="5" t="s">
        <v>40</v>
      </c>
      <c r="AA13" s="5">
        <v>15</v>
      </c>
      <c r="AB13" s="5">
        <v>0.25</v>
      </c>
      <c r="AC13" s="5">
        <v>-92.459990000000005</v>
      </c>
      <c r="AD13" s="5" t="s">
        <v>48</v>
      </c>
      <c r="AE13" s="5">
        <v>-19132454</v>
      </c>
      <c r="AG13" s="6">
        <v>8</v>
      </c>
      <c r="AH13" s="6" t="s">
        <v>40</v>
      </c>
      <c r="AI13" s="6">
        <v>47</v>
      </c>
      <c r="AJ13" s="6">
        <v>0.25</v>
      </c>
      <c r="AK13" s="6">
        <v>-26.85999</v>
      </c>
      <c r="AL13" s="6" t="s">
        <v>131</v>
      </c>
      <c r="AM13" s="6">
        <v>-1991383464</v>
      </c>
      <c r="AO13" s="17">
        <v>4</v>
      </c>
      <c r="AP13" s="17" t="s">
        <v>1</v>
      </c>
      <c r="AQ13" s="17">
        <v>42</v>
      </c>
      <c r="AR13" s="17">
        <v>1E-3</v>
      </c>
      <c r="AS13" s="17">
        <v>37.659999999999997</v>
      </c>
      <c r="AT13" s="17" t="s">
        <v>185</v>
      </c>
      <c r="AU13" s="17">
        <v>15440194</v>
      </c>
      <c r="AW13" s="20">
        <v>20</v>
      </c>
      <c r="AX13" s="20" t="s">
        <v>40</v>
      </c>
      <c r="AY13" s="20">
        <v>36</v>
      </c>
      <c r="AZ13" s="20">
        <v>0.25</v>
      </c>
      <c r="BA13" s="20">
        <v>30.62003</v>
      </c>
      <c r="BB13" s="20" t="s">
        <v>269</v>
      </c>
      <c r="BC13" s="20">
        <v>152521762</v>
      </c>
      <c r="BM13">
        <v>6</v>
      </c>
      <c r="BN13" t="s">
        <v>1</v>
      </c>
      <c r="BO13">
        <v>149</v>
      </c>
      <c r="BP13" t="s">
        <v>307</v>
      </c>
      <c r="BQ13" t="s">
        <v>319</v>
      </c>
      <c r="BR13" t="s">
        <v>320</v>
      </c>
      <c r="BS13">
        <v>491</v>
      </c>
    </row>
    <row r="14" spans="1:71" x14ac:dyDescent="0.3">
      <c r="A14" s="18">
        <v>35</v>
      </c>
      <c r="B14" s="18" t="s">
        <v>1</v>
      </c>
      <c r="C14" s="18">
        <v>84</v>
      </c>
      <c r="D14" s="18">
        <v>0.25</v>
      </c>
      <c r="E14" s="18">
        <v>33.959989999999998</v>
      </c>
      <c r="F14" s="18" t="s">
        <v>140</v>
      </c>
      <c r="G14" s="18">
        <v>635526574</v>
      </c>
      <c r="I14" s="18">
        <v>35</v>
      </c>
      <c r="J14" s="18" t="s">
        <v>40</v>
      </c>
      <c r="K14" s="18">
        <v>40</v>
      </c>
      <c r="L14" s="18">
        <v>0.25</v>
      </c>
      <c r="M14" s="18">
        <v>-127.76</v>
      </c>
      <c r="N14" s="18" t="s">
        <v>139</v>
      </c>
      <c r="O14" s="18">
        <v>-1363469056</v>
      </c>
      <c r="Q14" s="19">
        <v>76</v>
      </c>
      <c r="R14" s="19" t="s">
        <v>40</v>
      </c>
      <c r="S14" s="19">
        <v>18</v>
      </c>
      <c r="T14" s="19">
        <v>0.25</v>
      </c>
      <c r="U14" s="19">
        <v>-9.8399959999999993</v>
      </c>
      <c r="V14" s="19" t="s">
        <v>170</v>
      </c>
      <c r="W14" s="19">
        <v>362046188</v>
      </c>
      <c r="Y14" s="5">
        <v>6</v>
      </c>
      <c r="Z14" s="5" t="s">
        <v>1</v>
      </c>
      <c r="AA14" s="5">
        <v>153</v>
      </c>
      <c r="AB14" s="5">
        <v>0.25</v>
      </c>
      <c r="AC14" s="5">
        <v>54.079990000000002</v>
      </c>
      <c r="AD14" s="5" t="s">
        <v>49</v>
      </c>
      <c r="AE14" s="5">
        <v>-514691821</v>
      </c>
      <c r="AG14" s="6">
        <v>8</v>
      </c>
      <c r="AH14" s="6" t="s">
        <v>40</v>
      </c>
      <c r="AI14" s="6">
        <v>24</v>
      </c>
      <c r="AJ14" s="6">
        <v>0.25</v>
      </c>
      <c r="AK14" s="6">
        <v>-84.560059999999993</v>
      </c>
      <c r="AL14" s="6" t="s">
        <v>132</v>
      </c>
      <c r="AM14" s="6">
        <v>929916095</v>
      </c>
      <c r="AO14" s="17">
        <v>5</v>
      </c>
      <c r="AP14" s="17" t="s">
        <v>40</v>
      </c>
      <c r="AQ14" s="17">
        <v>15</v>
      </c>
      <c r="AR14" s="17">
        <v>1E-3</v>
      </c>
      <c r="AS14" s="15">
        <v>-1.519989</v>
      </c>
      <c r="AT14" s="17" t="s">
        <v>186</v>
      </c>
      <c r="AU14" s="17">
        <v>59241730</v>
      </c>
      <c r="AW14" s="20">
        <v>20</v>
      </c>
      <c r="AX14" s="20" t="s">
        <v>40</v>
      </c>
      <c r="AY14" s="20">
        <v>5</v>
      </c>
      <c r="AZ14" s="20">
        <v>0.25</v>
      </c>
      <c r="BA14" s="20">
        <v>2.5199889999999998</v>
      </c>
      <c r="BB14" s="20" t="s">
        <v>270</v>
      </c>
      <c r="BC14" s="20">
        <v>63718312</v>
      </c>
      <c r="BM14">
        <v>7</v>
      </c>
      <c r="BN14" t="s">
        <v>40</v>
      </c>
      <c r="BO14">
        <v>24</v>
      </c>
      <c r="BP14" t="s">
        <v>307</v>
      </c>
      <c r="BQ14" s="37">
        <v>2008002</v>
      </c>
      <c r="BR14" t="s">
        <v>321</v>
      </c>
      <c r="BS14">
        <v>24499334</v>
      </c>
    </row>
    <row r="15" spans="1:71" x14ac:dyDescent="0.3">
      <c r="A15" s="18">
        <v>36</v>
      </c>
      <c r="B15" s="18" t="s">
        <v>1</v>
      </c>
      <c r="C15" s="18">
        <v>29</v>
      </c>
      <c r="D15" s="18">
        <v>0.25</v>
      </c>
      <c r="E15" s="18">
        <v>10.78</v>
      </c>
      <c r="F15" s="18" t="s">
        <v>149</v>
      </c>
      <c r="G15" s="18">
        <v>1805300419</v>
      </c>
      <c r="I15" s="18">
        <v>35</v>
      </c>
      <c r="J15" s="18" t="s">
        <v>1</v>
      </c>
      <c r="K15" s="18">
        <v>84</v>
      </c>
      <c r="L15" s="18">
        <v>0.25</v>
      </c>
      <c r="M15" s="18">
        <v>33.959989999999998</v>
      </c>
      <c r="N15" s="18" t="s">
        <v>140</v>
      </c>
      <c r="O15" s="18">
        <v>635526574</v>
      </c>
      <c r="Q15" s="19">
        <v>76</v>
      </c>
      <c r="R15" s="19" t="s">
        <v>40</v>
      </c>
      <c r="S15" s="19">
        <v>6</v>
      </c>
      <c r="T15" s="19">
        <v>0.25</v>
      </c>
      <c r="U15" s="19">
        <v>-27.3</v>
      </c>
      <c r="V15" s="19" t="s">
        <v>171</v>
      </c>
      <c r="W15" s="19">
        <v>195362159</v>
      </c>
      <c r="Y15" s="5">
        <v>7</v>
      </c>
      <c r="Z15" s="5" t="s">
        <v>40</v>
      </c>
      <c r="AA15" s="5">
        <v>39</v>
      </c>
      <c r="AB15" s="5">
        <v>0.25</v>
      </c>
      <c r="AC15" s="5">
        <v>-2.7799990000000001</v>
      </c>
      <c r="AD15" s="5" t="s">
        <v>50</v>
      </c>
      <c r="AE15" s="5">
        <v>-1307930219</v>
      </c>
      <c r="AG15" s="6">
        <v>8</v>
      </c>
      <c r="AH15" s="6" t="s">
        <v>40</v>
      </c>
      <c r="AI15" s="6">
        <v>8</v>
      </c>
      <c r="AJ15" s="6">
        <v>0.25</v>
      </c>
      <c r="AK15" s="6">
        <v>-109</v>
      </c>
      <c r="AL15" s="6" t="s">
        <v>133</v>
      </c>
      <c r="AM15" s="6">
        <v>5508731</v>
      </c>
      <c r="AO15" s="17">
        <v>5</v>
      </c>
      <c r="AP15" s="17" t="s">
        <v>40</v>
      </c>
      <c r="AQ15" s="17">
        <v>20</v>
      </c>
      <c r="AR15" s="17">
        <v>1E-3</v>
      </c>
      <c r="AS15" s="15">
        <v>-19.51999</v>
      </c>
      <c r="AT15" s="17" t="s">
        <v>187</v>
      </c>
      <c r="AU15" s="17">
        <v>103208142</v>
      </c>
      <c r="AW15" s="20">
        <v>20</v>
      </c>
      <c r="AX15" s="20" t="s">
        <v>40</v>
      </c>
      <c r="AY15" s="20">
        <v>29</v>
      </c>
      <c r="AZ15" s="20">
        <v>0.25</v>
      </c>
      <c r="BA15" s="20">
        <v>20.260010000000001</v>
      </c>
      <c r="BB15" s="20" t="s">
        <v>271</v>
      </c>
      <c r="BC15" s="20">
        <v>116032146</v>
      </c>
      <c r="BM15">
        <v>7</v>
      </c>
      <c r="BN15" t="s">
        <v>40</v>
      </c>
      <c r="BO15">
        <v>20</v>
      </c>
      <c r="BP15" t="s">
        <v>307</v>
      </c>
      <c r="BQ15" s="37">
        <v>1220001</v>
      </c>
      <c r="BR15" t="s">
        <v>322</v>
      </c>
      <c r="BS15">
        <v>72638514</v>
      </c>
    </row>
    <row r="16" spans="1:71" x14ac:dyDescent="0.3">
      <c r="A16" s="18">
        <v>40</v>
      </c>
      <c r="B16" s="18" t="s">
        <v>1</v>
      </c>
      <c r="C16" s="18">
        <v>41</v>
      </c>
      <c r="D16" s="18">
        <v>0.25</v>
      </c>
      <c r="E16" s="18">
        <v>14.82</v>
      </c>
      <c r="F16" s="18" t="s">
        <v>28</v>
      </c>
      <c r="G16" s="18" t="s">
        <v>18</v>
      </c>
      <c r="I16" s="18">
        <v>36</v>
      </c>
      <c r="J16" s="18" t="s">
        <v>40</v>
      </c>
      <c r="K16" s="18">
        <v>7</v>
      </c>
      <c r="L16" s="18">
        <v>0.25</v>
      </c>
      <c r="M16" s="18">
        <v>-2.8000029999999998</v>
      </c>
      <c r="N16" s="18" t="s">
        <v>141</v>
      </c>
      <c r="O16" s="18">
        <v>-2038712169</v>
      </c>
      <c r="Q16" s="19">
        <v>76</v>
      </c>
      <c r="R16" s="19" t="s">
        <v>40</v>
      </c>
      <c r="S16" s="19">
        <v>7</v>
      </c>
      <c r="T16" s="19">
        <v>0.25</v>
      </c>
      <c r="U16" s="19">
        <v>-42.3</v>
      </c>
      <c r="V16" s="19" t="s">
        <v>172</v>
      </c>
      <c r="W16" s="19">
        <v>1376280784</v>
      </c>
      <c r="Y16" s="5">
        <v>7</v>
      </c>
      <c r="Z16" s="5" t="s">
        <v>1</v>
      </c>
      <c r="AA16" s="5">
        <v>67</v>
      </c>
      <c r="AB16" s="5">
        <v>0.25</v>
      </c>
      <c r="AC16" s="5">
        <v>24.98001</v>
      </c>
      <c r="AD16" s="5" t="s">
        <v>51</v>
      </c>
      <c r="AE16" s="5">
        <v>-2063920232</v>
      </c>
      <c r="AG16" s="6">
        <v>8</v>
      </c>
      <c r="AH16" s="6" t="s">
        <v>40</v>
      </c>
      <c r="AI16" s="6">
        <v>33</v>
      </c>
      <c r="AJ16" s="6">
        <v>0.25</v>
      </c>
      <c r="AK16" s="6">
        <v>-136.04</v>
      </c>
      <c r="AL16" s="6" t="s">
        <v>134</v>
      </c>
      <c r="AM16" s="6">
        <v>739129702</v>
      </c>
      <c r="AO16" s="17">
        <v>5</v>
      </c>
      <c r="AP16" s="17" t="s">
        <v>40</v>
      </c>
      <c r="AQ16" s="17">
        <v>37</v>
      </c>
      <c r="AR16" s="17">
        <v>1E-3</v>
      </c>
      <c r="AS16" s="15">
        <v>-32.299990000000001</v>
      </c>
      <c r="AT16" s="17" t="s">
        <v>188</v>
      </c>
      <c r="AU16" s="17">
        <v>38000190</v>
      </c>
      <c r="AW16" s="20">
        <v>20</v>
      </c>
      <c r="AX16" s="20" t="s">
        <v>40</v>
      </c>
      <c r="AY16" s="20">
        <v>11</v>
      </c>
      <c r="AZ16" s="20">
        <v>0.25</v>
      </c>
      <c r="BA16" s="20">
        <v>12.520020000000001</v>
      </c>
      <c r="BB16" s="20" t="s">
        <v>272</v>
      </c>
      <c r="BC16" s="20">
        <v>34326497</v>
      </c>
      <c r="BM16">
        <v>7</v>
      </c>
      <c r="BN16" t="s">
        <v>40</v>
      </c>
      <c r="BO16">
        <v>19</v>
      </c>
      <c r="BP16" t="s">
        <v>307</v>
      </c>
      <c r="BQ16" s="37">
        <v>9919983</v>
      </c>
      <c r="BR16" t="s">
        <v>323</v>
      </c>
      <c r="BS16">
        <v>104656156</v>
      </c>
    </row>
    <row r="17" spans="1:71" x14ac:dyDescent="0.3">
      <c r="A17" s="18">
        <v>41</v>
      </c>
      <c r="B17" s="18" t="s">
        <v>1</v>
      </c>
      <c r="C17" s="18">
        <v>50</v>
      </c>
      <c r="D17" s="18">
        <v>0.25</v>
      </c>
      <c r="E17" s="18">
        <v>21.1</v>
      </c>
      <c r="F17" s="18" t="s">
        <v>29</v>
      </c>
      <c r="G17" s="18" t="s">
        <v>18</v>
      </c>
      <c r="I17" s="18">
        <v>36</v>
      </c>
      <c r="J17" s="18" t="s">
        <v>40</v>
      </c>
      <c r="K17" s="18">
        <v>14</v>
      </c>
      <c r="L17" s="18">
        <v>0.25</v>
      </c>
      <c r="M17" s="18">
        <v>-8.5400089999999995</v>
      </c>
      <c r="N17" s="18" t="s">
        <v>142</v>
      </c>
      <c r="O17" s="18">
        <v>845536980</v>
      </c>
      <c r="Q17" s="19">
        <v>76</v>
      </c>
      <c r="R17" s="19" t="s">
        <v>40</v>
      </c>
      <c r="S17" s="19">
        <v>7</v>
      </c>
      <c r="T17" s="19">
        <v>0.25</v>
      </c>
      <c r="U17" s="19">
        <v>-45.72</v>
      </c>
      <c r="V17" s="19" t="s">
        <v>173</v>
      </c>
      <c r="W17" s="19">
        <v>964840410</v>
      </c>
      <c r="Y17" s="5">
        <v>8</v>
      </c>
      <c r="Z17" s="5" t="s">
        <v>40</v>
      </c>
      <c r="AA17" s="5">
        <v>22</v>
      </c>
      <c r="AB17" s="5">
        <v>0.25</v>
      </c>
      <c r="AC17" s="5">
        <v>-1.160004</v>
      </c>
      <c r="AD17" s="5" t="s">
        <v>52</v>
      </c>
      <c r="AE17" s="5">
        <v>1926529301</v>
      </c>
      <c r="AG17" s="6">
        <v>8</v>
      </c>
      <c r="AH17" s="6" t="s">
        <v>40</v>
      </c>
      <c r="AI17" s="6">
        <v>30</v>
      </c>
      <c r="AJ17" s="6">
        <v>0.25</v>
      </c>
      <c r="AK17" s="6">
        <v>-198.42</v>
      </c>
      <c r="AL17" s="6" t="s">
        <v>135</v>
      </c>
      <c r="AM17" s="6">
        <v>-431113356</v>
      </c>
      <c r="AO17" s="17">
        <v>5</v>
      </c>
      <c r="AP17" s="17" t="s">
        <v>40</v>
      </c>
      <c r="AQ17" s="17">
        <v>6</v>
      </c>
      <c r="AR17" s="17">
        <v>1E-3</v>
      </c>
      <c r="AS17" s="15">
        <v>-65.100009999999997</v>
      </c>
      <c r="AT17" s="17" t="s">
        <v>189</v>
      </c>
      <c r="AU17" s="17">
        <v>46478004</v>
      </c>
      <c r="AW17" s="20">
        <v>20</v>
      </c>
      <c r="AX17" s="20" t="s">
        <v>40</v>
      </c>
      <c r="AY17" s="20">
        <v>41</v>
      </c>
      <c r="AZ17" s="20">
        <v>0.25</v>
      </c>
      <c r="BA17" s="20">
        <v>28.600010000000001</v>
      </c>
      <c r="BB17" s="20" t="s">
        <v>273</v>
      </c>
      <c r="BC17" s="20">
        <v>174</v>
      </c>
      <c r="BM17">
        <v>7</v>
      </c>
      <c r="BN17" t="s">
        <v>40</v>
      </c>
      <c r="BO17">
        <v>26</v>
      </c>
      <c r="BP17" t="s">
        <v>307</v>
      </c>
      <c r="BQ17" s="37">
        <v>1572003</v>
      </c>
      <c r="BR17" t="s">
        <v>324</v>
      </c>
      <c r="BS17">
        <v>48600141</v>
      </c>
    </row>
    <row r="18" spans="1:71" x14ac:dyDescent="0.3">
      <c r="A18" s="18">
        <v>42</v>
      </c>
      <c r="B18" s="18" t="s">
        <v>1</v>
      </c>
      <c r="C18" s="18">
        <v>20</v>
      </c>
      <c r="D18" s="18">
        <v>0.25</v>
      </c>
      <c r="E18" s="18">
        <v>7.7799990000000001</v>
      </c>
      <c r="F18" s="18" t="s">
        <v>27</v>
      </c>
      <c r="G18" s="18" t="s">
        <v>18</v>
      </c>
      <c r="I18" s="18">
        <v>36</v>
      </c>
      <c r="J18" s="18" t="s">
        <v>40</v>
      </c>
      <c r="K18" s="18">
        <v>7</v>
      </c>
      <c r="L18" s="18">
        <v>0.25</v>
      </c>
      <c r="M18" s="18">
        <v>-16.760010000000001</v>
      </c>
      <c r="N18" s="18" t="s">
        <v>143</v>
      </c>
      <c r="O18" s="18">
        <v>-1921430633</v>
      </c>
      <c r="Q18" s="19">
        <v>76</v>
      </c>
      <c r="R18" s="19" t="s">
        <v>1</v>
      </c>
      <c r="S18" s="19">
        <v>59</v>
      </c>
      <c r="T18" s="19">
        <v>0.25</v>
      </c>
      <c r="U18" s="19">
        <v>35.599989999999998</v>
      </c>
      <c r="V18" s="19" t="s">
        <v>174</v>
      </c>
      <c r="W18" s="19">
        <v>478083329</v>
      </c>
      <c r="Y18" s="5">
        <v>8</v>
      </c>
      <c r="Z18" s="5" t="s">
        <v>40</v>
      </c>
      <c r="AA18" s="5">
        <v>18</v>
      </c>
      <c r="AB18" s="5">
        <v>0.25</v>
      </c>
      <c r="AC18" s="5">
        <v>-46.48001</v>
      </c>
      <c r="AD18" s="5" t="s">
        <v>53</v>
      </c>
      <c r="AE18" s="5">
        <v>-1604548783</v>
      </c>
      <c r="AG18" s="6">
        <v>8</v>
      </c>
      <c r="AH18" s="6" t="s">
        <v>40</v>
      </c>
      <c r="AI18" s="6">
        <v>31</v>
      </c>
      <c r="AJ18" s="6">
        <v>0.25</v>
      </c>
      <c r="AK18" s="6">
        <v>-230.26</v>
      </c>
      <c r="AL18" s="6" t="s">
        <v>136</v>
      </c>
      <c r="AM18" s="6">
        <v>-647632022</v>
      </c>
      <c r="AO18" s="17">
        <v>5</v>
      </c>
      <c r="AP18" s="17" t="s">
        <v>1</v>
      </c>
      <c r="AQ18" s="17">
        <v>52</v>
      </c>
      <c r="AR18" s="17">
        <v>1E-3</v>
      </c>
      <c r="AS18" s="17">
        <v>24.17999</v>
      </c>
      <c r="AT18" s="17" t="s">
        <v>190</v>
      </c>
      <c r="AU18" s="17">
        <v>250</v>
      </c>
      <c r="AW18" s="20">
        <v>20</v>
      </c>
      <c r="AX18" s="20" t="s">
        <v>40</v>
      </c>
      <c r="AY18" s="20">
        <v>38</v>
      </c>
      <c r="AZ18" s="20">
        <v>0.25</v>
      </c>
      <c r="BA18" s="20">
        <v>29.82001</v>
      </c>
      <c r="BB18" s="20" t="s">
        <v>274</v>
      </c>
      <c r="BC18" s="20">
        <v>100812978</v>
      </c>
      <c r="BM18">
        <v>7</v>
      </c>
      <c r="BN18" t="s">
        <v>40</v>
      </c>
      <c r="BO18">
        <v>37</v>
      </c>
      <c r="BP18" t="s">
        <v>307</v>
      </c>
      <c r="BQ18">
        <v>24</v>
      </c>
      <c r="BR18" t="s">
        <v>325</v>
      </c>
      <c r="BS18">
        <v>145656158</v>
      </c>
    </row>
    <row r="19" spans="1:71" x14ac:dyDescent="0.3">
      <c r="A19" s="18">
        <v>60</v>
      </c>
      <c r="B19" s="18" t="s">
        <v>1</v>
      </c>
      <c r="C19" s="18">
        <v>47</v>
      </c>
      <c r="D19" s="18">
        <v>0.25</v>
      </c>
      <c r="E19" s="18">
        <v>17.8</v>
      </c>
      <c r="F19" s="18" t="s">
        <v>37</v>
      </c>
      <c r="G19" s="18" t="s">
        <v>18</v>
      </c>
      <c r="I19" s="18">
        <v>36</v>
      </c>
      <c r="J19" s="18" t="s">
        <v>40</v>
      </c>
      <c r="K19" s="18">
        <v>7</v>
      </c>
      <c r="L19" s="18">
        <v>0.25</v>
      </c>
      <c r="M19" s="18">
        <v>-22.200009999999999</v>
      </c>
      <c r="N19" s="18" t="s">
        <v>141</v>
      </c>
      <c r="O19" s="18">
        <v>-458817911</v>
      </c>
      <c r="Q19" s="19">
        <v>23</v>
      </c>
      <c r="R19" s="19" t="s">
        <v>40</v>
      </c>
      <c r="S19" s="19">
        <v>12</v>
      </c>
      <c r="T19" s="19">
        <v>0.25</v>
      </c>
      <c r="U19" s="19">
        <v>7.5</v>
      </c>
      <c r="V19" s="19" t="s">
        <v>218</v>
      </c>
      <c r="W19" s="19">
        <v>35235347</v>
      </c>
      <c r="Y19" s="5">
        <v>8</v>
      </c>
      <c r="Z19" s="5" t="s">
        <v>40</v>
      </c>
      <c r="AA19" s="5">
        <v>52</v>
      </c>
      <c r="AB19" s="5">
        <v>0.25</v>
      </c>
      <c r="AC19" s="5">
        <v>-72.899990000000003</v>
      </c>
      <c r="AD19" s="5" t="s">
        <v>54</v>
      </c>
      <c r="AE19" s="5">
        <v>-758633245</v>
      </c>
      <c r="AO19" s="17">
        <v>6</v>
      </c>
      <c r="AP19" s="17" t="s">
        <v>40</v>
      </c>
      <c r="AQ19" s="17">
        <v>154</v>
      </c>
      <c r="AR19" s="17">
        <v>1E-3</v>
      </c>
      <c r="AS19" s="15">
        <v>-4.2000120000000001</v>
      </c>
      <c r="AT19" s="17" t="s">
        <v>191</v>
      </c>
      <c r="AU19" s="17">
        <v>460</v>
      </c>
      <c r="AW19" s="20">
        <v>20</v>
      </c>
      <c r="AX19" s="20" t="s">
        <v>40</v>
      </c>
      <c r="AY19" s="20">
        <v>52</v>
      </c>
      <c r="AZ19" s="20">
        <v>0.25</v>
      </c>
      <c r="BA19" s="20">
        <v>33.399990000000003</v>
      </c>
      <c r="BB19" s="20" t="s">
        <v>275</v>
      </c>
      <c r="BC19" s="20">
        <v>204240230</v>
      </c>
      <c r="BM19">
        <v>7</v>
      </c>
      <c r="BN19" t="s">
        <v>1</v>
      </c>
      <c r="BO19">
        <v>61</v>
      </c>
      <c r="BP19" t="s">
        <v>307</v>
      </c>
      <c r="BQ19" s="37">
        <v>2985999</v>
      </c>
      <c r="BR19" t="s">
        <v>326</v>
      </c>
      <c r="BS19">
        <v>165035786</v>
      </c>
    </row>
    <row r="20" spans="1:71" x14ac:dyDescent="0.3">
      <c r="A20" s="18">
        <v>101</v>
      </c>
      <c r="B20" s="18" t="s">
        <v>1</v>
      </c>
      <c r="C20" s="18">
        <v>251</v>
      </c>
      <c r="D20" s="18">
        <v>0.25</v>
      </c>
      <c r="E20" s="18">
        <v>150.74</v>
      </c>
      <c r="F20" s="18" t="s">
        <v>150</v>
      </c>
      <c r="G20" s="18">
        <v>-618038451</v>
      </c>
      <c r="I20" s="18">
        <v>36</v>
      </c>
      <c r="J20" s="18" t="s">
        <v>40</v>
      </c>
      <c r="K20" s="18">
        <v>7</v>
      </c>
      <c r="L20" s="18">
        <v>0.25</v>
      </c>
      <c r="M20" s="18">
        <v>-26.22</v>
      </c>
      <c r="N20" s="18" t="s">
        <v>144</v>
      </c>
      <c r="O20" s="18">
        <v>-712723773</v>
      </c>
      <c r="Q20" s="19">
        <v>23</v>
      </c>
      <c r="R20" s="19" t="s">
        <v>1</v>
      </c>
      <c r="S20" s="19">
        <v>84</v>
      </c>
      <c r="T20" s="19">
        <v>0.25</v>
      </c>
      <c r="U20" s="19">
        <v>52.22</v>
      </c>
      <c r="V20" s="19" t="s">
        <v>219</v>
      </c>
      <c r="W20" s="19">
        <v>244440321</v>
      </c>
      <c r="Y20" s="5">
        <v>8</v>
      </c>
      <c r="Z20" s="5" t="s">
        <v>40</v>
      </c>
      <c r="AA20" s="5">
        <v>7</v>
      </c>
      <c r="AB20" s="5">
        <v>0.25</v>
      </c>
      <c r="AC20" s="5">
        <v>-123.28</v>
      </c>
      <c r="AD20" s="5" t="s">
        <v>55</v>
      </c>
      <c r="AE20" s="5">
        <v>-1056954567</v>
      </c>
      <c r="AO20" s="17">
        <v>6</v>
      </c>
      <c r="AP20" s="17" t="s">
        <v>40</v>
      </c>
      <c r="AQ20" s="17">
        <v>130</v>
      </c>
      <c r="AR20" s="17">
        <v>1E-3</v>
      </c>
      <c r="AS20" s="15">
        <v>-106.08</v>
      </c>
      <c r="AT20" s="17" t="s">
        <v>192</v>
      </c>
      <c r="AU20" s="17">
        <v>361560401</v>
      </c>
      <c r="AW20" s="20">
        <v>20</v>
      </c>
      <c r="AX20" s="20" t="s">
        <v>40</v>
      </c>
      <c r="AY20" s="20">
        <v>17</v>
      </c>
      <c r="AZ20" s="20">
        <v>0.25</v>
      </c>
      <c r="BA20" s="20">
        <v>12.34</v>
      </c>
      <c r="BB20" s="20" t="s">
        <v>276</v>
      </c>
      <c r="BC20" s="20">
        <v>51088109</v>
      </c>
      <c r="BM20">
        <v>8</v>
      </c>
      <c r="BN20" t="s">
        <v>40</v>
      </c>
      <c r="BO20">
        <v>35</v>
      </c>
      <c r="BP20" t="s">
        <v>307</v>
      </c>
      <c r="BQ20" s="37">
        <v>3546002</v>
      </c>
      <c r="BR20" t="s">
        <v>327</v>
      </c>
      <c r="BS20">
        <v>31416170</v>
      </c>
    </row>
    <row r="21" spans="1:71" x14ac:dyDescent="0.3">
      <c r="A21" s="18">
        <v>30</v>
      </c>
      <c r="B21" s="18" t="s">
        <v>1</v>
      </c>
      <c r="C21" s="18">
        <v>40</v>
      </c>
      <c r="D21" s="18">
        <v>0.25</v>
      </c>
      <c r="E21" s="18">
        <v>13.34</v>
      </c>
      <c r="F21" s="18" t="s">
        <v>100</v>
      </c>
      <c r="G21" s="18">
        <v>133041978</v>
      </c>
      <c r="I21" s="18">
        <v>36</v>
      </c>
      <c r="J21" s="18" t="s">
        <v>40</v>
      </c>
      <c r="K21" s="18">
        <v>8</v>
      </c>
      <c r="L21" s="18">
        <v>0.25</v>
      </c>
      <c r="M21" s="18">
        <v>-32.22</v>
      </c>
      <c r="N21" s="18" t="s">
        <v>145</v>
      </c>
      <c r="O21" s="18">
        <v>548953347</v>
      </c>
      <c r="Q21" s="19">
        <v>24</v>
      </c>
      <c r="R21" s="19" t="s">
        <v>1</v>
      </c>
      <c r="S21" s="19">
        <v>183</v>
      </c>
      <c r="T21" s="19">
        <v>0.25</v>
      </c>
      <c r="U21" s="19">
        <v>83.06</v>
      </c>
      <c r="V21" s="19" t="s">
        <v>220</v>
      </c>
      <c r="W21" s="19">
        <v>565</v>
      </c>
      <c r="Y21" s="5">
        <v>8</v>
      </c>
      <c r="Z21" s="5" t="s">
        <v>40</v>
      </c>
      <c r="AA21" s="5">
        <v>7</v>
      </c>
      <c r="AB21" s="5">
        <v>0.25</v>
      </c>
      <c r="AC21" s="5">
        <v>-168.62</v>
      </c>
      <c r="AD21" s="5" t="s">
        <v>56</v>
      </c>
      <c r="AE21" s="5">
        <v>1707998190</v>
      </c>
      <c r="AO21" s="17">
        <v>6</v>
      </c>
      <c r="AP21" s="17" t="s">
        <v>40</v>
      </c>
      <c r="AQ21" s="17">
        <v>61</v>
      </c>
      <c r="AR21" s="17">
        <v>1E-3</v>
      </c>
      <c r="AS21" s="15">
        <v>-201.36</v>
      </c>
      <c r="AT21" s="17" t="s">
        <v>193</v>
      </c>
      <c r="AU21" s="17">
        <v>152275409</v>
      </c>
      <c r="AW21" s="20">
        <v>20</v>
      </c>
      <c r="AX21" s="20" t="s">
        <v>40</v>
      </c>
      <c r="AY21" s="20">
        <v>35</v>
      </c>
      <c r="AZ21" s="20">
        <v>0.25</v>
      </c>
      <c r="BA21" s="20">
        <v>28.419979999999999</v>
      </c>
      <c r="BB21" s="20" t="s">
        <v>277</v>
      </c>
      <c r="BC21" s="20">
        <v>36200186</v>
      </c>
      <c r="BM21">
        <v>8</v>
      </c>
      <c r="BN21" t="s">
        <v>40</v>
      </c>
      <c r="BO21">
        <v>12</v>
      </c>
      <c r="BP21" t="s">
        <v>307</v>
      </c>
      <c r="BQ21" s="37">
        <v>1459998</v>
      </c>
      <c r="BR21" t="s">
        <v>328</v>
      </c>
      <c r="BS21">
        <v>30971816</v>
      </c>
    </row>
    <row r="22" spans="1:71" x14ac:dyDescent="0.3">
      <c r="A22" s="18">
        <v>31</v>
      </c>
      <c r="B22" s="18" t="s">
        <v>1</v>
      </c>
      <c r="C22" s="18">
        <v>34</v>
      </c>
      <c r="D22" s="18">
        <v>0.25</v>
      </c>
      <c r="E22" s="18">
        <v>11.94</v>
      </c>
      <c r="F22" s="18" t="s">
        <v>238</v>
      </c>
      <c r="G22" s="18">
        <v>75680178</v>
      </c>
      <c r="I22" s="18">
        <v>36</v>
      </c>
      <c r="J22" s="18" t="s">
        <v>40</v>
      </c>
      <c r="K22" s="18">
        <v>14</v>
      </c>
      <c r="L22" s="18">
        <v>0.25</v>
      </c>
      <c r="M22" s="18">
        <v>-53.44</v>
      </c>
      <c r="N22" s="18" t="s">
        <v>146</v>
      </c>
      <c r="O22" s="18">
        <v>28659152</v>
      </c>
      <c r="Q22" s="19">
        <v>25</v>
      </c>
      <c r="R22" s="19" t="s">
        <v>1</v>
      </c>
      <c r="S22" s="19">
        <v>100</v>
      </c>
      <c r="T22" s="19">
        <v>0.25</v>
      </c>
      <c r="U22" s="19">
        <v>40.340000000000003</v>
      </c>
      <c r="V22" s="19" t="s">
        <v>221</v>
      </c>
      <c r="W22" s="19">
        <v>334</v>
      </c>
      <c r="Y22" s="5">
        <v>8</v>
      </c>
      <c r="Z22" s="5" t="s">
        <v>40</v>
      </c>
      <c r="AA22" s="5">
        <v>10</v>
      </c>
      <c r="AB22" s="5">
        <v>0.25</v>
      </c>
      <c r="AC22" s="5">
        <v>-176.5</v>
      </c>
      <c r="AD22" s="5" t="s">
        <v>57</v>
      </c>
      <c r="AE22" s="5">
        <v>-505904854</v>
      </c>
      <c r="AO22" s="17">
        <v>6</v>
      </c>
      <c r="AP22" s="17" t="s">
        <v>40</v>
      </c>
      <c r="AQ22" s="17">
        <v>18</v>
      </c>
      <c r="AR22" s="17">
        <v>1E-3</v>
      </c>
      <c r="AS22" s="15">
        <v>-255.42</v>
      </c>
      <c r="AT22" s="17" t="s">
        <v>194</v>
      </c>
      <c r="AU22" s="17">
        <v>104684224</v>
      </c>
      <c r="AW22" s="20">
        <v>20</v>
      </c>
      <c r="AX22" s="20" t="s">
        <v>40</v>
      </c>
      <c r="AY22" s="20">
        <v>22</v>
      </c>
      <c r="AZ22" s="20">
        <v>0.25</v>
      </c>
      <c r="BA22" s="20">
        <v>17.12</v>
      </c>
      <c r="BB22" s="20">
        <v>14.34</v>
      </c>
      <c r="BC22" s="20">
        <v>32939959</v>
      </c>
      <c r="BM22">
        <v>8</v>
      </c>
      <c r="BN22" t="s">
        <v>40</v>
      </c>
      <c r="BO22">
        <v>16</v>
      </c>
      <c r="BP22" t="s">
        <v>307</v>
      </c>
      <c r="BQ22" s="37">
        <v>1093994</v>
      </c>
      <c r="BR22" t="s">
        <v>329</v>
      </c>
      <c r="BS22">
        <v>97124237</v>
      </c>
    </row>
    <row r="23" spans="1:71" x14ac:dyDescent="0.3">
      <c r="A23" s="18">
        <v>31</v>
      </c>
      <c r="B23" s="18" t="s">
        <v>40</v>
      </c>
      <c r="C23" s="18">
        <v>34</v>
      </c>
      <c r="D23" s="18">
        <v>0.25</v>
      </c>
      <c r="E23" s="18">
        <v>25.899989999999999</v>
      </c>
      <c r="F23" s="18" t="s">
        <v>238</v>
      </c>
      <c r="G23" s="18">
        <v>113866753</v>
      </c>
      <c r="I23" s="18">
        <v>36</v>
      </c>
      <c r="J23" s="18" t="s">
        <v>40</v>
      </c>
      <c r="K23" s="18">
        <v>8</v>
      </c>
      <c r="L23" s="18">
        <v>0.25</v>
      </c>
      <c r="M23" s="18">
        <v>-66.5</v>
      </c>
      <c r="N23" s="18" t="s">
        <v>147</v>
      </c>
      <c r="O23" s="18">
        <v>211032503</v>
      </c>
      <c r="Q23" s="19">
        <v>26</v>
      </c>
      <c r="R23" s="19" t="s">
        <v>40</v>
      </c>
      <c r="S23" s="19">
        <v>55</v>
      </c>
      <c r="T23" s="19">
        <v>0.25</v>
      </c>
      <c r="U23" s="19">
        <v>18.72</v>
      </c>
      <c r="V23" s="19" t="s">
        <v>222</v>
      </c>
      <c r="W23" s="19">
        <v>48731429</v>
      </c>
      <c r="Y23" s="5">
        <v>8</v>
      </c>
      <c r="Z23" s="5" t="s">
        <v>40</v>
      </c>
      <c r="AA23" s="5">
        <v>29</v>
      </c>
      <c r="AB23" s="5">
        <v>0.25</v>
      </c>
      <c r="AC23" s="5">
        <v>-221.82</v>
      </c>
      <c r="AD23" s="5" t="s">
        <v>58</v>
      </c>
      <c r="AE23" s="5">
        <v>1546737852</v>
      </c>
      <c r="AO23" s="17">
        <v>6</v>
      </c>
      <c r="AP23" s="17" t="s">
        <v>40</v>
      </c>
      <c r="AQ23" s="17">
        <v>6</v>
      </c>
      <c r="AR23" s="17">
        <v>1E-3</v>
      </c>
      <c r="AS23" s="15">
        <v>-278.33999999999997</v>
      </c>
      <c r="AT23" s="17" t="s">
        <v>195</v>
      </c>
      <c r="AU23" s="17">
        <v>83197535</v>
      </c>
      <c r="AW23" s="20">
        <v>21</v>
      </c>
      <c r="AX23" s="20" t="s">
        <v>40</v>
      </c>
      <c r="AY23" s="20">
        <v>7</v>
      </c>
      <c r="AZ23" s="20">
        <v>0.25</v>
      </c>
      <c r="BA23" s="20">
        <v>5.7799990000000001</v>
      </c>
      <c r="BB23" s="20" t="s">
        <v>278</v>
      </c>
      <c r="BC23" s="20">
        <v>61397949</v>
      </c>
      <c r="BM23">
        <v>8</v>
      </c>
      <c r="BN23" t="s">
        <v>40</v>
      </c>
      <c r="BO23">
        <v>9</v>
      </c>
      <c r="BP23" t="s">
        <v>307</v>
      </c>
      <c r="BQ23" t="s">
        <v>330</v>
      </c>
      <c r="BR23" t="s">
        <v>331</v>
      </c>
      <c r="BS23">
        <v>88464768</v>
      </c>
    </row>
    <row r="24" spans="1:71" x14ac:dyDescent="0.3">
      <c r="A24" s="18">
        <v>31</v>
      </c>
      <c r="B24" s="18" t="s">
        <v>1</v>
      </c>
      <c r="C24" s="18">
        <v>30</v>
      </c>
      <c r="D24" s="18">
        <v>0.25</v>
      </c>
      <c r="E24" s="18">
        <v>11.739990000000001</v>
      </c>
      <c r="F24" s="18" t="s">
        <v>239</v>
      </c>
      <c r="G24" s="18">
        <v>112200192</v>
      </c>
      <c r="I24" s="18">
        <v>36</v>
      </c>
      <c r="J24" s="18" t="s">
        <v>40</v>
      </c>
      <c r="K24" s="18">
        <v>7</v>
      </c>
      <c r="L24" s="18">
        <v>0.25</v>
      </c>
      <c r="M24" s="18">
        <v>-72.039990000000003</v>
      </c>
      <c r="N24" s="18" t="s">
        <v>141</v>
      </c>
      <c r="O24" s="18">
        <v>724630161</v>
      </c>
      <c r="Q24" s="19">
        <v>26</v>
      </c>
      <c r="R24" s="19" t="s">
        <v>40</v>
      </c>
      <c r="S24" s="19">
        <v>123</v>
      </c>
      <c r="T24" s="19">
        <v>0.25</v>
      </c>
      <c r="U24" s="19">
        <v>73.919979999999995</v>
      </c>
      <c r="V24" s="19" t="s">
        <v>223</v>
      </c>
      <c r="W24" s="19">
        <v>105120440</v>
      </c>
      <c r="Y24" s="5">
        <v>8</v>
      </c>
      <c r="Z24" s="5" t="s">
        <v>40</v>
      </c>
      <c r="AA24" s="5">
        <v>9</v>
      </c>
      <c r="AB24" s="5">
        <v>0.25</v>
      </c>
      <c r="AC24" s="5">
        <v>-252.3</v>
      </c>
      <c r="AD24" s="5" t="s">
        <v>59</v>
      </c>
      <c r="AE24" s="5">
        <v>-1919984935</v>
      </c>
      <c r="AO24" s="17">
        <v>6</v>
      </c>
      <c r="AP24" s="17" t="s">
        <v>40</v>
      </c>
      <c r="AQ24" s="17">
        <v>33</v>
      </c>
      <c r="AR24" s="17">
        <v>1E-3</v>
      </c>
      <c r="AS24" s="15">
        <v>-294.8399</v>
      </c>
      <c r="AT24" s="17" t="s">
        <v>196</v>
      </c>
      <c r="AU24" s="17">
        <v>172800183</v>
      </c>
      <c r="AW24" s="20">
        <v>21</v>
      </c>
      <c r="AX24" s="20" t="s">
        <v>40</v>
      </c>
      <c r="AY24" s="20">
        <v>39</v>
      </c>
      <c r="AZ24" s="20">
        <v>0.25</v>
      </c>
      <c r="BA24" s="20">
        <v>33.520000000000003</v>
      </c>
      <c r="BB24" s="20" t="s">
        <v>279</v>
      </c>
      <c r="BC24" s="20">
        <v>100262577</v>
      </c>
      <c r="BM24">
        <v>8</v>
      </c>
      <c r="BN24" t="s">
        <v>1</v>
      </c>
      <c r="BO24">
        <v>60</v>
      </c>
      <c r="BP24" t="s">
        <v>307</v>
      </c>
      <c r="BQ24" t="s">
        <v>332</v>
      </c>
      <c r="BR24" t="s">
        <v>333</v>
      </c>
      <c r="BS24">
        <v>149072250</v>
      </c>
    </row>
    <row r="25" spans="1:71" x14ac:dyDescent="0.3">
      <c r="A25" s="18">
        <v>31</v>
      </c>
      <c r="B25" s="18" t="s">
        <v>40</v>
      </c>
      <c r="C25" s="18">
        <v>30</v>
      </c>
      <c r="D25" s="18">
        <v>0.25</v>
      </c>
      <c r="E25" s="18">
        <v>13.42</v>
      </c>
      <c r="F25" s="18" t="s">
        <v>239</v>
      </c>
      <c r="G25" s="18">
        <v>138228622</v>
      </c>
      <c r="I25" s="18">
        <v>36</v>
      </c>
      <c r="J25" s="18" t="s">
        <v>40</v>
      </c>
      <c r="K25" s="18">
        <v>13</v>
      </c>
      <c r="L25" s="18">
        <v>0.25</v>
      </c>
      <c r="M25" s="18">
        <v>-308.92</v>
      </c>
      <c r="N25" s="18" t="s">
        <v>148</v>
      </c>
      <c r="O25" s="18">
        <v>-1912413264</v>
      </c>
      <c r="Q25" s="19">
        <v>26</v>
      </c>
      <c r="R25" s="19" t="s">
        <v>1</v>
      </c>
      <c r="S25" s="19">
        <v>142</v>
      </c>
      <c r="T25" s="19">
        <v>0.25</v>
      </c>
      <c r="U25" s="19">
        <v>47.57996</v>
      </c>
      <c r="V25" s="19" t="s">
        <v>224</v>
      </c>
      <c r="W25" s="19">
        <v>515</v>
      </c>
      <c r="Y25" s="5">
        <v>8</v>
      </c>
      <c r="Z25" s="5" t="s">
        <v>40</v>
      </c>
      <c r="AA25" s="5">
        <v>30</v>
      </c>
      <c r="AB25" s="5">
        <v>0.25</v>
      </c>
      <c r="AC25" s="5">
        <v>-267.60000000000002</v>
      </c>
      <c r="AD25" s="5" t="s">
        <v>60</v>
      </c>
      <c r="AE25" s="5">
        <v>-679409247</v>
      </c>
      <c r="AO25" s="17">
        <v>6</v>
      </c>
      <c r="AP25" s="17" t="s">
        <v>40</v>
      </c>
      <c r="AQ25" s="17">
        <v>70</v>
      </c>
      <c r="AR25" s="17">
        <v>1E-3</v>
      </c>
      <c r="AS25" s="15">
        <v>-333.06</v>
      </c>
      <c r="AT25" s="17" t="s">
        <v>197</v>
      </c>
      <c r="AU25" s="17">
        <v>203280245</v>
      </c>
      <c r="AW25" s="20">
        <v>21</v>
      </c>
      <c r="AX25" s="20" t="s">
        <v>40</v>
      </c>
      <c r="AY25" s="20">
        <v>10</v>
      </c>
      <c r="AZ25" s="20">
        <v>0.25</v>
      </c>
      <c r="BA25" s="20">
        <v>11.16</v>
      </c>
      <c r="BB25" s="20" t="s">
        <v>280</v>
      </c>
      <c r="BC25" s="20">
        <v>64962918</v>
      </c>
      <c r="BM25">
        <v>9</v>
      </c>
      <c r="BN25" t="s">
        <v>1</v>
      </c>
      <c r="BO25">
        <v>49</v>
      </c>
      <c r="BP25" t="s">
        <v>307</v>
      </c>
      <c r="BQ25" s="37">
        <v>4030005</v>
      </c>
      <c r="BR25" t="s">
        <v>334</v>
      </c>
      <c r="BS25">
        <v>60600202</v>
      </c>
    </row>
    <row r="26" spans="1:71" x14ac:dyDescent="0.3">
      <c r="A26" s="18">
        <v>31</v>
      </c>
      <c r="B26" s="18" t="s">
        <v>1</v>
      </c>
      <c r="C26" s="18">
        <v>28</v>
      </c>
      <c r="D26" s="18">
        <v>0.25</v>
      </c>
      <c r="E26" s="18">
        <v>9.5</v>
      </c>
      <c r="F26" s="18" t="s">
        <v>240</v>
      </c>
      <c r="G26" s="18">
        <v>22401171</v>
      </c>
      <c r="I26" s="18">
        <v>36</v>
      </c>
      <c r="J26" s="18" t="s">
        <v>1</v>
      </c>
      <c r="K26" s="18">
        <v>29</v>
      </c>
      <c r="L26" s="18">
        <v>0.25</v>
      </c>
      <c r="M26" s="18">
        <v>10.78</v>
      </c>
      <c r="N26" s="18" t="s">
        <v>149</v>
      </c>
      <c r="O26" s="18">
        <v>1805300419</v>
      </c>
      <c r="Q26" s="19">
        <v>27</v>
      </c>
      <c r="R26" s="19" t="s">
        <v>1</v>
      </c>
      <c r="S26" s="19">
        <v>81</v>
      </c>
      <c r="T26" s="19">
        <v>0.25</v>
      </c>
      <c r="U26" s="19">
        <v>45.5</v>
      </c>
      <c r="V26" s="19" t="s">
        <v>225</v>
      </c>
      <c r="W26" s="19">
        <v>192760314</v>
      </c>
      <c r="Y26" s="5">
        <v>8</v>
      </c>
      <c r="Z26" s="5" t="s">
        <v>40</v>
      </c>
      <c r="AA26" s="5">
        <v>6</v>
      </c>
      <c r="AB26" s="5">
        <v>0.25</v>
      </c>
      <c r="AC26" s="5">
        <v>-314.94</v>
      </c>
      <c r="AD26" s="5" t="s">
        <v>61</v>
      </c>
      <c r="AE26" s="5">
        <v>-922794637</v>
      </c>
      <c r="AO26" s="17">
        <v>6</v>
      </c>
      <c r="AP26" s="17" t="s">
        <v>40</v>
      </c>
      <c r="AQ26" s="17">
        <v>30</v>
      </c>
      <c r="AR26" s="17">
        <v>1E-3</v>
      </c>
      <c r="AS26" s="15">
        <v>-470.56</v>
      </c>
      <c r="AT26" s="17" t="s">
        <v>198</v>
      </c>
      <c r="AU26" s="17">
        <v>79497750</v>
      </c>
      <c r="AW26" s="20">
        <v>21</v>
      </c>
      <c r="AX26" s="20" t="s">
        <v>40</v>
      </c>
      <c r="AY26" s="20">
        <v>26</v>
      </c>
      <c r="AZ26" s="20">
        <v>0.25</v>
      </c>
      <c r="BA26" s="20">
        <v>19.399989999999999</v>
      </c>
      <c r="BB26" s="20" t="s">
        <v>281</v>
      </c>
      <c r="BC26" s="20">
        <v>38732566</v>
      </c>
      <c r="BM26">
        <v>10</v>
      </c>
      <c r="BN26" t="s">
        <v>40</v>
      </c>
      <c r="BO26">
        <v>34</v>
      </c>
      <c r="BP26" t="s">
        <v>307</v>
      </c>
      <c r="BQ26" s="37">
        <v>2573999</v>
      </c>
      <c r="BR26" t="s">
        <v>335</v>
      </c>
      <c r="BS26">
        <v>78332984</v>
      </c>
    </row>
    <row r="27" spans="1:71" x14ac:dyDescent="0.3">
      <c r="A27" s="18">
        <v>32</v>
      </c>
      <c r="B27" s="18" t="s">
        <v>40</v>
      </c>
      <c r="C27" s="18">
        <v>7</v>
      </c>
      <c r="D27" s="18">
        <v>0.25</v>
      </c>
      <c r="E27" s="18">
        <v>3</v>
      </c>
      <c r="F27" s="18" t="s">
        <v>241</v>
      </c>
      <c r="G27" s="18">
        <v>48188033</v>
      </c>
      <c r="I27" s="18">
        <v>40</v>
      </c>
      <c r="J27" s="18" t="s">
        <v>1</v>
      </c>
      <c r="K27" s="18">
        <v>41</v>
      </c>
      <c r="L27" s="18">
        <v>0.25</v>
      </c>
      <c r="M27" s="18">
        <v>14.82</v>
      </c>
      <c r="N27" s="18" t="s">
        <v>28</v>
      </c>
      <c r="O27" s="18" t="s">
        <v>18</v>
      </c>
      <c r="Q27" s="19">
        <v>28</v>
      </c>
      <c r="R27" s="19" t="s">
        <v>40</v>
      </c>
      <c r="S27" s="19">
        <v>74</v>
      </c>
      <c r="T27" s="19">
        <v>0.25</v>
      </c>
      <c r="U27" s="19">
        <v>26.66</v>
      </c>
      <c r="V27" s="19" t="s">
        <v>226</v>
      </c>
      <c r="W27" s="19">
        <v>251791640</v>
      </c>
      <c r="Y27" s="5">
        <v>8</v>
      </c>
      <c r="Z27" s="5" t="s">
        <v>40</v>
      </c>
      <c r="AA27" s="5">
        <v>162</v>
      </c>
      <c r="AB27" s="5">
        <v>0.25</v>
      </c>
      <c r="AC27" s="5">
        <v>-321.45999999999998</v>
      </c>
      <c r="AD27" s="5" t="s">
        <v>62</v>
      </c>
      <c r="AE27" s="5">
        <v>599744497</v>
      </c>
      <c r="AO27" s="17">
        <v>6</v>
      </c>
      <c r="AP27" s="17" t="s">
        <v>40</v>
      </c>
      <c r="AQ27" s="17">
        <v>18</v>
      </c>
      <c r="AR27" s="17">
        <v>1E-3</v>
      </c>
      <c r="AS27" s="15">
        <v>-496.78</v>
      </c>
      <c r="AT27" s="17" t="s">
        <v>199</v>
      </c>
      <c r="AU27" s="17">
        <v>11273225</v>
      </c>
      <c r="AW27" s="20">
        <v>21</v>
      </c>
      <c r="AX27" s="20" t="s">
        <v>40</v>
      </c>
      <c r="AY27" s="20">
        <v>9</v>
      </c>
      <c r="AZ27" s="20">
        <v>0.25</v>
      </c>
      <c r="BA27" s="20">
        <v>8.6600040000000007</v>
      </c>
      <c r="BB27" s="20" t="s">
        <v>282</v>
      </c>
      <c r="BC27" s="20">
        <v>64518380</v>
      </c>
      <c r="BM27">
        <v>10</v>
      </c>
      <c r="BN27" t="s">
        <v>40</v>
      </c>
      <c r="BO27">
        <v>24</v>
      </c>
      <c r="BP27" t="s">
        <v>307</v>
      </c>
      <c r="BQ27" s="37">
        <v>1971997</v>
      </c>
      <c r="BR27" t="s">
        <v>336</v>
      </c>
      <c r="BS27">
        <v>153260960</v>
      </c>
    </row>
    <row r="28" spans="1:71" x14ac:dyDescent="0.3">
      <c r="A28" s="18">
        <v>32</v>
      </c>
      <c r="B28" s="18" t="s">
        <v>1</v>
      </c>
      <c r="C28" s="18">
        <v>32</v>
      </c>
      <c r="D28" s="18">
        <v>0.25</v>
      </c>
      <c r="E28" s="18">
        <v>11.44</v>
      </c>
      <c r="F28" s="18" t="s">
        <v>24</v>
      </c>
      <c r="G28" s="18">
        <v>73382570</v>
      </c>
      <c r="I28" s="18">
        <v>41</v>
      </c>
      <c r="J28" s="18" t="s">
        <v>1</v>
      </c>
      <c r="K28" s="18">
        <v>50</v>
      </c>
      <c r="L28" s="18">
        <v>0.25</v>
      </c>
      <c r="M28" s="18">
        <v>21.1</v>
      </c>
      <c r="N28" s="18" t="s">
        <v>29</v>
      </c>
      <c r="O28" s="18" t="s">
        <v>18</v>
      </c>
      <c r="Q28" s="19">
        <v>29</v>
      </c>
      <c r="R28" s="19" t="s">
        <v>1</v>
      </c>
      <c r="S28" s="19">
        <v>110</v>
      </c>
      <c r="T28" s="19">
        <v>0.25</v>
      </c>
      <c r="U28" s="19">
        <v>60.620010000000001</v>
      </c>
      <c r="V28" s="19" t="s">
        <v>227</v>
      </c>
      <c r="W28" s="19">
        <v>364</v>
      </c>
      <c r="Y28" s="5">
        <v>8</v>
      </c>
      <c r="Z28" s="5" t="s">
        <v>40</v>
      </c>
      <c r="AA28" s="5">
        <v>36</v>
      </c>
      <c r="AB28" s="5">
        <v>0.25</v>
      </c>
      <c r="AC28" s="5">
        <v>-383.04</v>
      </c>
      <c r="AD28" s="5" t="s">
        <v>63</v>
      </c>
      <c r="AE28" s="5">
        <v>1409578002</v>
      </c>
      <c r="AO28" s="17">
        <v>6</v>
      </c>
      <c r="AP28" s="17" t="s">
        <v>40</v>
      </c>
      <c r="AQ28" s="17">
        <v>48</v>
      </c>
      <c r="AR28" s="17">
        <v>1E-3</v>
      </c>
      <c r="AS28" s="15">
        <v>-554.81989999999996</v>
      </c>
      <c r="AT28" s="17" t="s">
        <v>200</v>
      </c>
      <c r="AU28" s="17">
        <v>56831331</v>
      </c>
      <c r="AW28" s="20">
        <v>21</v>
      </c>
      <c r="AX28" s="20" t="s">
        <v>40</v>
      </c>
      <c r="AY28" s="20">
        <v>12</v>
      </c>
      <c r="AZ28" s="20">
        <v>0.25</v>
      </c>
      <c r="BA28" s="20">
        <v>6.3000030000000002</v>
      </c>
      <c r="BB28" s="20" t="s">
        <v>283</v>
      </c>
      <c r="BC28" s="20">
        <v>63877056</v>
      </c>
      <c r="BM28">
        <v>10</v>
      </c>
      <c r="BN28" t="s">
        <v>1</v>
      </c>
      <c r="BO28">
        <v>46</v>
      </c>
      <c r="BP28" t="s">
        <v>307</v>
      </c>
      <c r="BQ28" t="s">
        <v>337</v>
      </c>
      <c r="BR28" t="s">
        <v>338</v>
      </c>
      <c r="BS28">
        <v>211</v>
      </c>
    </row>
    <row r="29" spans="1:71" x14ac:dyDescent="0.3">
      <c r="A29" s="18">
        <v>33</v>
      </c>
      <c r="B29" s="18" t="s">
        <v>1</v>
      </c>
      <c r="C29" s="18">
        <v>39</v>
      </c>
      <c r="D29" s="18">
        <v>0.25</v>
      </c>
      <c r="E29" s="18">
        <v>15.94</v>
      </c>
      <c r="F29" s="18" t="s">
        <v>242</v>
      </c>
      <c r="G29" s="18">
        <v>13398211</v>
      </c>
      <c r="I29" s="18">
        <v>42</v>
      </c>
      <c r="J29" s="18" t="s">
        <v>1</v>
      </c>
      <c r="K29" s="18">
        <v>20</v>
      </c>
      <c r="L29" s="18">
        <v>0.25</v>
      </c>
      <c r="M29" s="18">
        <v>7.7799990000000001</v>
      </c>
      <c r="N29" s="18" t="s">
        <v>27</v>
      </c>
      <c r="O29" s="18" t="s">
        <v>18</v>
      </c>
      <c r="Q29" s="19">
        <v>30</v>
      </c>
      <c r="R29" s="19" t="s">
        <v>1</v>
      </c>
      <c r="S29" s="19">
        <v>40</v>
      </c>
      <c r="T29" s="19">
        <v>0.25</v>
      </c>
      <c r="U29" s="19">
        <v>12.42001</v>
      </c>
      <c r="V29" s="19" t="s">
        <v>100</v>
      </c>
      <c r="W29" s="19">
        <v>80145785</v>
      </c>
      <c r="Y29" s="5">
        <v>8</v>
      </c>
      <c r="Z29" s="5" t="s">
        <v>40</v>
      </c>
      <c r="AA29" s="5">
        <v>18</v>
      </c>
      <c r="AB29" s="5">
        <v>0.25</v>
      </c>
      <c r="AC29" s="5">
        <v>-416.16</v>
      </c>
      <c r="AD29" s="5" t="s">
        <v>64</v>
      </c>
      <c r="AE29" s="5">
        <v>1351311399</v>
      </c>
      <c r="AO29" s="17">
        <v>6</v>
      </c>
      <c r="AP29" s="17" t="s">
        <v>40</v>
      </c>
      <c r="AQ29" s="17">
        <v>130</v>
      </c>
      <c r="AR29" s="17">
        <v>1E-3</v>
      </c>
      <c r="AS29" s="15">
        <v>-597.96</v>
      </c>
      <c r="AT29" s="17" t="s">
        <v>201</v>
      </c>
      <c r="AU29" s="17">
        <v>408</v>
      </c>
      <c r="AW29" s="20">
        <v>21</v>
      </c>
      <c r="AX29" s="20" t="s">
        <v>40</v>
      </c>
      <c r="AY29" s="20">
        <v>20</v>
      </c>
      <c r="AZ29" s="20">
        <v>0.25</v>
      </c>
      <c r="BA29" s="20">
        <v>26.599989999999998</v>
      </c>
      <c r="BB29" s="20" t="s">
        <v>284</v>
      </c>
      <c r="BC29" s="20">
        <v>56942753</v>
      </c>
      <c r="BM29">
        <v>11</v>
      </c>
      <c r="BN29" t="s">
        <v>40</v>
      </c>
      <c r="BO29">
        <v>12</v>
      </c>
      <c r="BP29" t="s">
        <v>307</v>
      </c>
      <c r="BQ29" s="37">
        <v>1379993</v>
      </c>
      <c r="BR29" t="s">
        <v>339</v>
      </c>
      <c r="BS29">
        <v>127</v>
      </c>
    </row>
    <row r="30" spans="1:71" x14ac:dyDescent="0.3">
      <c r="A30" s="18">
        <v>34</v>
      </c>
      <c r="B30" s="18" t="s">
        <v>40</v>
      </c>
      <c r="C30" s="18">
        <v>54</v>
      </c>
      <c r="D30" s="18">
        <v>0.25</v>
      </c>
      <c r="E30" s="18">
        <v>108.78</v>
      </c>
      <c r="F30" s="18" t="s">
        <v>243</v>
      </c>
      <c r="G30" s="18">
        <v>173250231</v>
      </c>
      <c r="I30" s="18">
        <v>60</v>
      </c>
      <c r="J30" s="18" t="s">
        <v>1</v>
      </c>
      <c r="K30" s="18">
        <v>47</v>
      </c>
      <c r="L30" s="18">
        <v>0.25</v>
      </c>
      <c r="M30" s="18">
        <v>17.8</v>
      </c>
      <c r="N30" s="18" t="s">
        <v>37</v>
      </c>
      <c r="O30" s="18" t="s">
        <v>18</v>
      </c>
      <c r="Q30" s="19">
        <v>37</v>
      </c>
      <c r="R30" s="19" t="s">
        <v>1</v>
      </c>
      <c r="S30" s="19">
        <v>44</v>
      </c>
      <c r="T30" s="19">
        <v>0.25</v>
      </c>
      <c r="U30" s="19">
        <v>16.739989999999999</v>
      </c>
      <c r="V30" s="19" t="s">
        <v>228</v>
      </c>
      <c r="W30" s="19">
        <v>36572713</v>
      </c>
      <c r="Y30" s="5">
        <v>8</v>
      </c>
      <c r="Z30" s="5" t="s">
        <v>1</v>
      </c>
      <c r="AA30" s="5">
        <v>66</v>
      </c>
      <c r="AB30" s="5">
        <v>0.25</v>
      </c>
      <c r="AC30" s="5">
        <v>37.739989999999999</v>
      </c>
      <c r="AD30" s="5" t="s">
        <v>65</v>
      </c>
      <c r="AE30" s="5">
        <v>1281443430</v>
      </c>
      <c r="AO30" s="17">
        <v>6</v>
      </c>
      <c r="AP30" s="17" t="s">
        <v>40</v>
      </c>
      <c r="AQ30" s="17">
        <v>182</v>
      </c>
      <c r="AR30" s="17">
        <v>1E-3</v>
      </c>
      <c r="AS30" s="15">
        <v>-683</v>
      </c>
      <c r="AT30" s="17" t="s">
        <v>202</v>
      </c>
      <c r="AU30" s="17">
        <v>553</v>
      </c>
      <c r="AW30" s="20">
        <v>21</v>
      </c>
      <c r="AX30" s="20" t="s">
        <v>40</v>
      </c>
      <c r="AY30" s="20">
        <v>18</v>
      </c>
      <c r="AZ30" s="20">
        <v>0.25</v>
      </c>
      <c r="BA30" s="20">
        <v>15.879989999999999</v>
      </c>
      <c r="BB30" s="20" t="s">
        <v>285</v>
      </c>
      <c r="BC30" s="20">
        <v>930151</v>
      </c>
      <c r="BM30">
        <v>11</v>
      </c>
      <c r="BN30" t="s">
        <v>1</v>
      </c>
      <c r="BO30">
        <v>54</v>
      </c>
      <c r="BP30" t="s">
        <v>307</v>
      </c>
      <c r="BQ30" t="s">
        <v>340</v>
      </c>
      <c r="BR30" t="s">
        <v>341</v>
      </c>
      <c r="BS30">
        <v>37120239</v>
      </c>
    </row>
    <row r="31" spans="1:71" x14ac:dyDescent="0.3">
      <c r="A31" s="18">
        <v>34</v>
      </c>
      <c r="B31" s="18" t="s">
        <v>1</v>
      </c>
      <c r="C31" s="18">
        <v>94</v>
      </c>
      <c r="D31" s="18">
        <v>0.25</v>
      </c>
      <c r="E31" s="18">
        <v>41.679989999999997</v>
      </c>
      <c r="F31" s="18" t="s">
        <v>244</v>
      </c>
      <c r="G31" s="18">
        <v>73800373</v>
      </c>
      <c r="I31" s="18">
        <v>101</v>
      </c>
      <c r="J31" s="18" t="s">
        <v>1</v>
      </c>
      <c r="K31" s="18">
        <v>251</v>
      </c>
      <c r="L31" s="18">
        <v>0.25</v>
      </c>
      <c r="M31" s="18">
        <v>150.74</v>
      </c>
      <c r="N31" s="18" t="s">
        <v>150</v>
      </c>
      <c r="O31" s="18">
        <v>-618038451</v>
      </c>
      <c r="Q31" s="19">
        <v>38</v>
      </c>
      <c r="R31" s="19" t="s">
        <v>40</v>
      </c>
      <c r="S31" s="19">
        <v>45</v>
      </c>
      <c r="T31" s="19">
        <v>0.25</v>
      </c>
      <c r="U31" s="19">
        <v>34.780029999999996</v>
      </c>
      <c r="V31" s="19" t="s">
        <v>229</v>
      </c>
      <c r="W31" s="19">
        <v>113766609</v>
      </c>
      <c r="Y31" s="5">
        <v>9</v>
      </c>
      <c r="Z31" s="5" t="s">
        <v>40</v>
      </c>
      <c r="AA31" s="5">
        <v>15</v>
      </c>
      <c r="AB31" s="5">
        <v>0.25</v>
      </c>
      <c r="AC31" s="5">
        <v>-4.1599729999999999</v>
      </c>
      <c r="AD31" s="5" t="s">
        <v>66</v>
      </c>
      <c r="AE31" s="5">
        <v>1672480963</v>
      </c>
      <c r="AO31" s="17">
        <v>6</v>
      </c>
      <c r="AP31" s="17" t="s">
        <v>1</v>
      </c>
      <c r="AQ31" s="17">
        <v>187</v>
      </c>
      <c r="AR31" s="17">
        <v>1E-3</v>
      </c>
      <c r="AS31" s="17">
        <v>100.42</v>
      </c>
      <c r="AT31" s="17" t="s">
        <v>203</v>
      </c>
      <c r="AU31" s="17">
        <v>564</v>
      </c>
      <c r="AW31" s="20">
        <v>21</v>
      </c>
      <c r="AX31" s="20" t="s">
        <v>40</v>
      </c>
      <c r="AY31" s="20">
        <v>15</v>
      </c>
      <c r="AZ31" s="20">
        <v>0.25</v>
      </c>
      <c r="BA31" s="20">
        <v>10.959989999999999</v>
      </c>
      <c r="BB31" s="20" t="s">
        <v>286</v>
      </c>
      <c r="BC31" s="20">
        <v>6798188</v>
      </c>
      <c r="BM31">
        <v>12</v>
      </c>
      <c r="BN31" t="s">
        <v>40</v>
      </c>
      <c r="BO31">
        <v>26</v>
      </c>
      <c r="BP31" t="s">
        <v>307</v>
      </c>
      <c r="BQ31" s="37">
        <v>2509998</v>
      </c>
      <c r="BR31" t="s">
        <v>342</v>
      </c>
      <c r="BS31">
        <v>76458087</v>
      </c>
    </row>
    <row r="32" spans="1:71" x14ac:dyDescent="0.3">
      <c r="A32" s="18">
        <v>35</v>
      </c>
      <c r="B32" s="18" t="s">
        <v>1</v>
      </c>
      <c r="C32" s="18">
        <v>76</v>
      </c>
      <c r="D32" s="18">
        <v>0.25</v>
      </c>
      <c r="E32" s="18">
        <v>28.319949999999999</v>
      </c>
      <c r="F32" s="18" t="s">
        <v>245</v>
      </c>
      <c r="G32" s="18">
        <v>167404467</v>
      </c>
      <c r="I32" s="18">
        <v>30</v>
      </c>
      <c r="J32" s="18" t="s">
        <v>1</v>
      </c>
      <c r="K32" s="18">
        <v>40</v>
      </c>
      <c r="L32" s="18">
        <v>0.25</v>
      </c>
      <c r="M32" s="18">
        <v>13.34</v>
      </c>
      <c r="N32" s="18" t="s">
        <v>100</v>
      </c>
      <c r="O32" s="18">
        <v>133041978</v>
      </c>
      <c r="Q32" s="19">
        <v>38</v>
      </c>
      <c r="R32" s="19" t="s">
        <v>40</v>
      </c>
      <c r="S32" s="19">
        <v>83</v>
      </c>
      <c r="T32" s="19">
        <v>0.25</v>
      </c>
      <c r="U32" s="19">
        <v>45.140009999999997</v>
      </c>
      <c r="V32" s="19" t="s">
        <v>230</v>
      </c>
      <c r="W32" s="19">
        <v>253981079</v>
      </c>
      <c r="Y32" s="5">
        <v>9</v>
      </c>
      <c r="Z32" s="5" t="s">
        <v>40</v>
      </c>
      <c r="AA32" s="5">
        <v>21</v>
      </c>
      <c r="AB32" s="5">
        <v>0.25</v>
      </c>
      <c r="AC32" s="5">
        <v>-14.53998</v>
      </c>
      <c r="AD32" s="5" t="s">
        <v>67</v>
      </c>
      <c r="AE32" s="5">
        <v>1933261149</v>
      </c>
      <c r="AO32" s="17">
        <v>7</v>
      </c>
      <c r="AP32" s="17" t="s">
        <v>40</v>
      </c>
      <c r="AQ32" s="17">
        <v>42</v>
      </c>
      <c r="AR32" s="17">
        <v>1E-3</v>
      </c>
      <c r="AS32" s="15">
        <v>-1.2999270000000001</v>
      </c>
      <c r="AT32" s="17" t="s">
        <v>204</v>
      </c>
      <c r="AU32" s="17">
        <v>5745789</v>
      </c>
      <c r="AW32" s="20">
        <v>1</v>
      </c>
      <c r="AX32" s="20" t="s">
        <v>40</v>
      </c>
      <c r="AY32" s="20">
        <v>11</v>
      </c>
      <c r="AZ32" s="20">
        <v>0.25</v>
      </c>
      <c r="BA32" s="20">
        <v>9</v>
      </c>
      <c r="BB32" s="20" t="s">
        <v>287</v>
      </c>
      <c r="BC32" s="20">
        <v>39513529</v>
      </c>
      <c r="BM32">
        <v>12</v>
      </c>
      <c r="BN32" t="s">
        <v>1</v>
      </c>
      <c r="BO32">
        <v>72</v>
      </c>
      <c r="BP32" t="s">
        <v>307</v>
      </c>
      <c r="BQ32" t="s">
        <v>343</v>
      </c>
      <c r="BR32" t="s">
        <v>344</v>
      </c>
      <c r="BS32">
        <v>145600280</v>
      </c>
    </row>
    <row r="33" spans="1:71" x14ac:dyDescent="0.3">
      <c r="A33" s="18">
        <v>36</v>
      </c>
      <c r="B33" s="18" t="s">
        <v>1</v>
      </c>
      <c r="C33" s="18">
        <v>39</v>
      </c>
      <c r="D33" s="18">
        <v>0.25</v>
      </c>
      <c r="E33" s="18">
        <v>22.760010000000001</v>
      </c>
      <c r="F33" s="18" t="s">
        <v>246</v>
      </c>
      <c r="G33" s="18">
        <v>146523090</v>
      </c>
      <c r="I33" s="18">
        <v>31</v>
      </c>
      <c r="J33" s="18" t="s">
        <v>1</v>
      </c>
      <c r="K33" s="18">
        <v>34</v>
      </c>
      <c r="L33" s="18">
        <v>0.25</v>
      </c>
      <c r="M33" s="18">
        <v>11.94</v>
      </c>
      <c r="N33" s="18" t="s">
        <v>238</v>
      </c>
      <c r="O33" s="18">
        <v>75680178</v>
      </c>
      <c r="Q33" s="19">
        <v>60</v>
      </c>
      <c r="R33" s="19" t="s">
        <v>1</v>
      </c>
      <c r="S33" s="19">
        <v>47</v>
      </c>
      <c r="T33" s="19">
        <v>0.25</v>
      </c>
      <c r="U33" s="19">
        <v>15.94</v>
      </c>
      <c r="V33" s="19" t="s">
        <v>231</v>
      </c>
      <c r="W33" s="19">
        <v>6809825</v>
      </c>
      <c r="Y33" s="5">
        <v>9</v>
      </c>
      <c r="Z33" s="5" t="s">
        <v>1</v>
      </c>
      <c r="AA33" s="5">
        <v>56</v>
      </c>
      <c r="AB33" s="5">
        <v>0.25</v>
      </c>
      <c r="AC33" s="5">
        <v>20.10004</v>
      </c>
      <c r="AD33" s="5" t="s">
        <v>68</v>
      </c>
      <c r="AE33" s="5">
        <v>844815848</v>
      </c>
      <c r="AO33" s="17">
        <v>7</v>
      </c>
      <c r="AP33" s="17" t="s">
        <v>40</v>
      </c>
      <c r="AQ33" s="17">
        <v>5</v>
      </c>
      <c r="AR33" s="17">
        <v>1E-3</v>
      </c>
      <c r="AS33" s="15">
        <v>-47.719970000000004</v>
      </c>
      <c r="AT33" s="17" t="s">
        <v>205</v>
      </c>
      <c r="AU33" s="17">
        <v>73102512</v>
      </c>
      <c r="AW33" s="20">
        <v>1</v>
      </c>
      <c r="AX33" s="20" t="s">
        <v>1</v>
      </c>
      <c r="AY33" s="20">
        <v>12</v>
      </c>
      <c r="AZ33" s="20">
        <v>0.25</v>
      </c>
      <c r="BA33" s="20">
        <v>5.7399899999999997</v>
      </c>
      <c r="BB33" s="20" t="s">
        <v>288</v>
      </c>
      <c r="BC33" s="20">
        <v>25719190</v>
      </c>
      <c r="BM33">
        <v>13</v>
      </c>
      <c r="BN33" t="s">
        <v>40</v>
      </c>
      <c r="BO33">
        <v>10</v>
      </c>
      <c r="BP33" t="s">
        <v>307</v>
      </c>
      <c r="BQ33" s="37">
        <v>1547998</v>
      </c>
      <c r="BR33" t="s">
        <v>345</v>
      </c>
      <c r="BS33">
        <v>91816124</v>
      </c>
    </row>
    <row r="34" spans="1:71" x14ac:dyDescent="0.3">
      <c r="A34" s="18">
        <v>36</v>
      </c>
      <c r="B34" s="18" t="s">
        <v>40</v>
      </c>
      <c r="C34" s="18">
        <v>39</v>
      </c>
      <c r="D34" s="18">
        <v>0.25</v>
      </c>
      <c r="E34" s="18">
        <v>25.5</v>
      </c>
      <c r="F34" s="18" t="s">
        <v>246</v>
      </c>
      <c r="G34" s="18">
        <v>560183</v>
      </c>
      <c r="I34" s="18">
        <v>31</v>
      </c>
      <c r="J34" s="18" t="s">
        <v>40</v>
      </c>
      <c r="K34" s="18">
        <v>34</v>
      </c>
      <c r="L34" s="18">
        <v>0.25</v>
      </c>
      <c r="M34" s="18">
        <v>25.899989999999999</v>
      </c>
      <c r="N34" s="18" t="s">
        <v>238</v>
      </c>
      <c r="O34" s="18">
        <v>113866753</v>
      </c>
      <c r="Q34" s="19">
        <v>61</v>
      </c>
      <c r="R34" s="19" t="s">
        <v>40</v>
      </c>
      <c r="S34" s="19">
        <v>14</v>
      </c>
      <c r="T34" s="19">
        <v>0.25</v>
      </c>
      <c r="U34" s="19">
        <v>5.4600030000000004</v>
      </c>
      <c r="V34" s="19" t="s">
        <v>232</v>
      </c>
      <c r="W34" s="19">
        <v>33354717</v>
      </c>
      <c r="Y34" s="5">
        <v>10</v>
      </c>
      <c r="Z34" s="5" t="s">
        <v>40</v>
      </c>
      <c r="AA34" s="5">
        <v>24</v>
      </c>
      <c r="AB34" s="5">
        <v>0.25</v>
      </c>
      <c r="AC34" s="5">
        <v>-3.199951</v>
      </c>
      <c r="AD34" s="5" t="s">
        <v>69</v>
      </c>
      <c r="AE34" s="5">
        <v>1006523097</v>
      </c>
      <c r="AO34" s="17">
        <v>7</v>
      </c>
      <c r="AP34" s="17" t="s">
        <v>40</v>
      </c>
      <c r="AQ34" s="17">
        <v>8</v>
      </c>
      <c r="AR34" s="17">
        <v>1E-3</v>
      </c>
      <c r="AS34" s="15">
        <v>-55.419919999999998</v>
      </c>
      <c r="AT34" s="17" t="s">
        <v>206</v>
      </c>
      <c r="AU34" s="17">
        <v>103810615</v>
      </c>
      <c r="AW34" s="20">
        <v>2</v>
      </c>
      <c r="AX34" s="20" t="s">
        <v>1</v>
      </c>
      <c r="AY34" s="20">
        <v>93</v>
      </c>
      <c r="AZ34" s="20">
        <v>0.25</v>
      </c>
      <c r="BA34" s="20">
        <v>65.78</v>
      </c>
      <c r="BB34" s="20" t="s">
        <v>30</v>
      </c>
      <c r="BC34" s="20">
        <v>345</v>
      </c>
      <c r="BM34">
        <v>13</v>
      </c>
      <c r="BN34" t="s">
        <v>1</v>
      </c>
      <c r="BO34">
        <v>52</v>
      </c>
      <c r="BP34" t="s">
        <v>307</v>
      </c>
      <c r="BQ34" s="37">
        <v>3106006</v>
      </c>
      <c r="BR34" t="s">
        <v>346</v>
      </c>
      <c r="BS34">
        <v>108686306</v>
      </c>
    </row>
    <row r="35" spans="1:71" x14ac:dyDescent="0.3">
      <c r="A35" s="18">
        <v>36</v>
      </c>
      <c r="B35" s="18" t="s">
        <v>1</v>
      </c>
      <c r="C35" s="18">
        <v>29</v>
      </c>
      <c r="D35" s="18">
        <v>0.25</v>
      </c>
      <c r="E35" s="18">
        <v>10.34003</v>
      </c>
      <c r="F35" s="18" t="s">
        <v>149</v>
      </c>
      <c r="G35" s="18">
        <v>135674179</v>
      </c>
      <c r="I35" s="18">
        <v>31</v>
      </c>
      <c r="J35" s="18" t="s">
        <v>1</v>
      </c>
      <c r="K35" s="18">
        <v>30</v>
      </c>
      <c r="L35" s="18">
        <v>0.25</v>
      </c>
      <c r="M35" s="18">
        <v>11.739990000000001</v>
      </c>
      <c r="N35" s="18" t="s">
        <v>239</v>
      </c>
      <c r="O35" s="18">
        <v>112200192</v>
      </c>
      <c r="Q35" s="19">
        <v>61</v>
      </c>
      <c r="R35" s="19" t="s">
        <v>1</v>
      </c>
      <c r="S35" s="19">
        <v>83</v>
      </c>
      <c r="T35" s="19">
        <v>0.25</v>
      </c>
      <c r="U35" s="19">
        <v>26.64</v>
      </c>
      <c r="V35" s="19" t="s">
        <v>233</v>
      </c>
      <c r="W35" s="19">
        <v>66000338</v>
      </c>
      <c r="Y35" s="5">
        <v>10</v>
      </c>
      <c r="Z35" s="5" t="s">
        <v>40</v>
      </c>
      <c r="AA35" s="5">
        <v>14</v>
      </c>
      <c r="AB35" s="5">
        <v>0.25</v>
      </c>
      <c r="AC35" s="5">
        <v>-23.88</v>
      </c>
      <c r="AD35" s="5" t="s">
        <v>70</v>
      </c>
      <c r="AE35" s="5">
        <v>705782320</v>
      </c>
      <c r="AO35" s="17">
        <v>7</v>
      </c>
      <c r="AP35" s="17" t="s">
        <v>1</v>
      </c>
      <c r="AQ35" s="17">
        <v>65</v>
      </c>
      <c r="AR35" s="17">
        <v>1E-3</v>
      </c>
      <c r="AS35" s="17">
        <v>33.179810000000003</v>
      </c>
      <c r="AT35" s="17" t="s">
        <v>207</v>
      </c>
      <c r="AU35" s="17">
        <v>161363135</v>
      </c>
      <c r="AW35" s="20">
        <v>3</v>
      </c>
      <c r="AX35" s="20" t="s">
        <v>40</v>
      </c>
      <c r="AY35" s="20">
        <v>5</v>
      </c>
      <c r="AZ35" s="20">
        <v>0.25</v>
      </c>
      <c r="BA35" s="20">
        <v>4.7600100000000003</v>
      </c>
      <c r="BB35" s="20" t="s">
        <v>289</v>
      </c>
      <c r="BC35" s="20">
        <v>22062669</v>
      </c>
      <c r="BM35">
        <v>14</v>
      </c>
      <c r="BN35" t="s">
        <v>40</v>
      </c>
      <c r="BO35">
        <v>5</v>
      </c>
      <c r="BP35" t="s">
        <v>307</v>
      </c>
      <c r="BQ35" s="37">
        <v>6859985</v>
      </c>
      <c r="BR35" t="s">
        <v>347</v>
      </c>
      <c r="BS35">
        <v>36268680</v>
      </c>
    </row>
    <row r="36" spans="1:71" x14ac:dyDescent="0.3">
      <c r="A36" s="18">
        <v>37</v>
      </c>
      <c r="B36" s="18" t="s">
        <v>40</v>
      </c>
      <c r="C36" s="18">
        <v>23</v>
      </c>
      <c r="D36" s="18">
        <v>0.25</v>
      </c>
      <c r="E36" s="18">
        <v>13.35999</v>
      </c>
      <c r="F36" s="18" t="s">
        <v>247</v>
      </c>
      <c r="G36" s="18">
        <v>116692954</v>
      </c>
      <c r="I36" s="18">
        <v>31</v>
      </c>
      <c r="J36" s="18" t="s">
        <v>40</v>
      </c>
      <c r="K36" s="18">
        <v>30</v>
      </c>
      <c r="L36" s="18">
        <v>0.25</v>
      </c>
      <c r="M36" s="18">
        <v>13.42</v>
      </c>
      <c r="N36" s="18" t="s">
        <v>239</v>
      </c>
      <c r="O36" s="18">
        <v>138228622</v>
      </c>
      <c r="Q36" s="19">
        <v>62</v>
      </c>
      <c r="R36" s="19" t="s">
        <v>1</v>
      </c>
      <c r="S36" s="19">
        <v>73</v>
      </c>
      <c r="T36" s="19">
        <v>0.25</v>
      </c>
      <c r="U36" s="19">
        <v>30.74</v>
      </c>
      <c r="V36" s="19" t="s">
        <v>234</v>
      </c>
      <c r="W36" s="19">
        <v>6648283</v>
      </c>
      <c r="Y36" s="5">
        <v>10</v>
      </c>
      <c r="Z36" s="5" t="s">
        <v>40</v>
      </c>
      <c r="AA36" s="5">
        <v>38</v>
      </c>
      <c r="AB36" s="5">
        <v>0.25</v>
      </c>
      <c r="AC36" s="5">
        <v>-45.979979999999998</v>
      </c>
      <c r="AD36" s="5" t="s">
        <v>71</v>
      </c>
      <c r="AE36" s="5">
        <v>475963633</v>
      </c>
      <c r="AO36" s="17">
        <v>8</v>
      </c>
      <c r="AP36" s="17" t="s">
        <v>40</v>
      </c>
      <c r="AQ36" s="17">
        <v>28</v>
      </c>
      <c r="AR36" s="17">
        <v>1E-3</v>
      </c>
      <c r="AS36" s="15">
        <v>-1.2399899999999999</v>
      </c>
      <c r="AT36" s="17" t="s">
        <v>208</v>
      </c>
      <c r="AU36" s="17">
        <v>12416139</v>
      </c>
      <c r="AW36" s="20">
        <v>3</v>
      </c>
      <c r="AX36" s="20" t="s">
        <v>1</v>
      </c>
      <c r="AY36" s="20">
        <v>132</v>
      </c>
      <c r="AZ36" s="20">
        <v>0.25</v>
      </c>
      <c r="BA36" s="20">
        <v>67.739990000000006</v>
      </c>
      <c r="BB36" s="20" t="s">
        <v>290</v>
      </c>
      <c r="BC36" s="20">
        <v>411130094</v>
      </c>
      <c r="BM36">
        <v>14</v>
      </c>
      <c r="BN36" t="s">
        <v>40</v>
      </c>
      <c r="BO36">
        <v>7</v>
      </c>
      <c r="BP36" t="s">
        <v>307</v>
      </c>
      <c r="BQ36" s="37">
        <v>6459961</v>
      </c>
      <c r="BR36" t="s">
        <v>348</v>
      </c>
      <c r="BS36">
        <v>4111675</v>
      </c>
    </row>
    <row r="37" spans="1:71" x14ac:dyDescent="0.3">
      <c r="A37" s="18">
        <v>37</v>
      </c>
      <c r="B37" s="18" t="s">
        <v>1</v>
      </c>
      <c r="C37" s="18">
        <v>40</v>
      </c>
      <c r="D37" s="18">
        <v>0.25</v>
      </c>
      <c r="E37" s="18">
        <v>28.520019999999999</v>
      </c>
      <c r="F37" s="18" t="s">
        <v>248</v>
      </c>
      <c r="G37" s="18">
        <v>55972034</v>
      </c>
      <c r="I37" s="18">
        <v>31</v>
      </c>
      <c r="J37" s="18" t="s">
        <v>1</v>
      </c>
      <c r="K37" s="18">
        <v>28</v>
      </c>
      <c r="L37" s="18">
        <v>0.25</v>
      </c>
      <c r="M37" s="18">
        <v>9.5</v>
      </c>
      <c r="N37" s="18" t="s">
        <v>240</v>
      </c>
      <c r="O37" s="18">
        <v>22401171</v>
      </c>
      <c r="Q37" s="19">
        <v>63</v>
      </c>
      <c r="R37" s="19" t="s">
        <v>1</v>
      </c>
      <c r="S37" s="19">
        <v>84</v>
      </c>
      <c r="T37" s="19">
        <v>0.25</v>
      </c>
      <c r="U37" s="19">
        <v>27.62</v>
      </c>
      <c r="V37" s="19" t="s">
        <v>235</v>
      </c>
      <c r="W37" s="19">
        <v>135219507</v>
      </c>
      <c r="Y37" s="5">
        <v>10</v>
      </c>
      <c r="Z37" s="5" t="s">
        <v>40</v>
      </c>
      <c r="AA37" s="5">
        <v>13</v>
      </c>
      <c r="AB37" s="5">
        <v>0.25</v>
      </c>
      <c r="AC37" s="5">
        <v>-82.819950000000006</v>
      </c>
      <c r="AD37" s="5" t="s">
        <v>72</v>
      </c>
      <c r="AE37" s="5">
        <v>2065166367</v>
      </c>
      <c r="AO37" s="17">
        <v>8</v>
      </c>
      <c r="AP37" s="17" t="s">
        <v>40</v>
      </c>
      <c r="AQ37" s="17">
        <v>78</v>
      </c>
      <c r="AR37" s="17">
        <v>1E-3</v>
      </c>
      <c r="AS37" s="15">
        <v>-37.180050000000001</v>
      </c>
      <c r="AT37" s="17" t="s">
        <v>209</v>
      </c>
      <c r="AU37" s="17">
        <v>246459490</v>
      </c>
      <c r="AW37" s="20">
        <v>4</v>
      </c>
      <c r="AX37" s="20" t="s">
        <v>40</v>
      </c>
      <c r="AY37" s="20">
        <v>20</v>
      </c>
      <c r="AZ37" s="20">
        <v>0.25</v>
      </c>
      <c r="BA37" s="20">
        <v>7.1200260000000002</v>
      </c>
      <c r="BB37" s="20" t="s">
        <v>291</v>
      </c>
      <c r="BC37" s="20">
        <v>81156479</v>
      </c>
      <c r="BM37">
        <v>14</v>
      </c>
      <c r="BN37" t="s">
        <v>40</v>
      </c>
      <c r="BO37">
        <v>5</v>
      </c>
      <c r="BP37" t="s">
        <v>307</v>
      </c>
      <c r="BQ37" s="37">
        <v>1664001</v>
      </c>
      <c r="BR37" t="s">
        <v>347</v>
      </c>
      <c r="BS37">
        <v>73673128</v>
      </c>
    </row>
    <row r="38" spans="1:71" x14ac:dyDescent="0.3">
      <c r="A38" s="18">
        <v>38</v>
      </c>
      <c r="B38" s="18" t="s">
        <v>40</v>
      </c>
      <c r="C38" s="18">
        <v>85</v>
      </c>
      <c r="D38" s="18">
        <v>0.25</v>
      </c>
      <c r="E38" s="18">
        <v>35.89996</v>
      </c>
      <c r="F38" s="18" t="s">
        <v>249</v>
      </c>
      <c r="G38" s="18">
        <v>192600326</v>
      </c>
      <c r="I38" s="18">
        <v>32</v>
      </c>
      <c r="J38" s="18" t="s">
        <v>40</v>
      </c>
      <c r="K38" s="18">
        <v>7</v>
      </c>
      <c r="L38" s="18">
        <v>0.25</v>
      </c>
      <c r="M38" s="18">
        <v>3</v>
      </c>
      <c r="N38" s="18" t="s">
        <v>241</v>
      </c>
      <c r="O38" s="18">
        <v>48188033</v>
      </c>
      <c r="Q38" s="19">
        <v>64</v>
      </c>
      <c r="R38" s="19" t="s">
        <v>1</v>
      </c>
      <c r="S38" s="19">
        <v>80</v>
      </c>
      <c r="T38" s="19">
        <v>0.25</v>
      </c>
      <c r="U38" s="19">
        <v>41.099989999999998</v>
      </c>
      <c r="V38" s="19" t="s">
        <v>236</v>
      </c>
      <c r="W38" s="19">
        <v>110720354</v>
      </c>
      <c r="Y38" s="5">
        <v>10</v>
      </c>
      <c r="Z38" s="5" t="s">
        <v>40</v>
      </c>
      <c r="AA38" s="5">
        <v>28</v>
      </c>
      <c r="AB38" s="5">
        <v>0.25</v>
      </c>
      <c r="AC38" s="5">
        <v>-94.38</v>
      </c>
      <c r="AD38" s="5" t="s">
        <v>73</v>
      </c>
      <c r="AE38" s="5">
        <v>-1260655229</v>
      </c>
      <c r="AO38" s="17">
        <v>8</v>
      </c>
      <c r="AP38" s="17" t="s">
        <v>40</v>
      </c>
      <c r="AQ38" s="17">
        <v>26</v>
      </c>
      <c r="AR38" s="17">
        <v>1E-3</v>
      </c>
      <c r="AS38" s="15">
        <v>-146.08009999999999</v>
      </c>
      <c r="AT38" s="17" t="s">
        <v>210</v>
      </c>
      <c r="AU38" s="17">
        <v>798144</v>
      </c>
      <c r="AW38" s="20">
        <v>4</v>
      </c>
      <c r="AX38" s="20" t="s">
        <v>1</v>
      </c>
      <c r="AY38" s="20">
        <v>33</v>
      </c>
      <c r="AZ38" s="20">
        <v>0.25</v>
      </c>
      <c r="BA38" s="20">
        <v>14.180020000000001</v>
      </c>
      <c r="BB38" s="20" t="s">
        <v>32</v>
      </c>
      <c r="BC38" s="20">
        <v>24800570</v>
      </c>
      <c r="BM38">
        <v>14</v>
      </c>
      <c r="BN38" t="s">
        <v>40</v>
      </c>
      <c r="BO38">
        <v>54</v>
      </c>
      <c r="BP38" t="s">
        <v>307</v>
      </c>
      <c r="BQ38" s="37">
        <v>5017993</v>
      </c>
      <c r="BR38" t="s">
        <v>349</v>
      </c>
      <c r="BS38">
        <v>230</v>
      </c>
    </row>
    <row r="39" spans="1:71" x14ac:dyDescent="0.3">
      <c r="A39" s="18">
        <v>38</v>
      </c>
      <c r="B39" s="18" t="s">
        <v>1</v>
      </c>
      <c r="C39" s="18">
        <v>93</v>
      </c>
      <c r="D39" s="18">
        <v>0.25</v>
      </c>
      <c r="E39" s="18">
        <v>56.319949999999999</v>
      </c>
      <c r="F39" s="18" t="s">
        <v>250</v>
      </c>
      <c r="G39" s="18">
        <v>216600361</v>
      </c>
      <c r="I39" s="18">
        <v>32</v>
      </c>
      <c r="J39" s="18" t="s">
        <v>1</v>
      </c>
      <c r="K39" s="18">
        <v>32</v>
      </c>
      <c r="L39" s="18">
        <v>0.25</v>
      </c>
      <c r="M39" s="18">
        <v>11.44</v>
      </c>
      <c r="N39" s="18" t="s">
        <v>24</v>
      </c>
      <c r="O39" s="18">
        <v>73382570</v>
      </c>
      <c r="Q39" s="19">
        <v>65</v>
      </c>
      <c r="R39" s="19" t="s">
        <v>1</v>
      </c>
      <c r="S39" s="19">
        <v>34</v>
      </c>
      <c r="T39" s="19">
        <v>0.25</v>
      </c>
      <c r="U39" s="19">
        <v>11.319990000000001</v>
      </c>
      <c r="V39" s="19" t="s">
        <v>237</v>
      </c>
      <c r="W39" s="19">
        <v>57680209</v>
      </c>
      <c r="Y39" s="5">
        <v>10</v>
      </c>
      <c r="Z39" s="5" t="s">
        <v>40</v>
      </c>
      <c r="AA39" s="5">
        <v>8</v>
      </c>
      <c r="AB39" s="5">
        <v>0.25</v>
      </c>
      <c r="AC39" s="5">
        <v>-120.28</v>
      </c>
      <c r="AD39" s="5" t="s">
        <v>74</v>
      </c>
      <c r="AE39" s="5">
        <v>1323970566</v>
      </c>
      <c r="AO39" s="17">
        <v>8</v>
      </c>
      <c r="AP39" s="17" t="s">
        <v>40</v>
      </c>
      <c r="AQ39" s="17">
        <v>7</v>
      </c>
      <c r="AR39" s="17">
        <v>1E-3</v>
      </c>
      <c r="AS39" s="15">
        <v>-165.53989999999999</v>
      </c>
      <c r="AT39" s="17" t="s">
        <v>211</v>
      </c>
      <c r="AU39" s="17">
        <v>30853674</v>
      </c>
      <c r="AW39" s="20">
        <v>5</v>
      </c>
      <c r="AX39" s="20" t="s">
        <v>40</v>
      </c>
      <c r="AY39" s="20">
        <v>18</v>
      </c>
      <c r="AZ39" s="20">
        <v>0.25</v>
      </c>
      <c r="BA39" s="20">
        <v>12.64001</v>
      </c>
      <c r="BB39" s="20" t="s">
        <v>292</v>
      </c>
      <c r="BC39" s="20">
        <v>66520125</v>
      </c>
      <c r="BM39">
        <v>14</v>
      </c>
      <c r="BN39" t="s">
        <v>1</v>
      </c>
      <c r="BO39">
        <v>69</v>
      </c>
      <c r="BP39" t="s">
        <v>307</v>
      </c>
      <c r="BQ39" s="37">
        <v>3636011</v>
      </c>
      <c r="BR39" t="s">
        <v>350</v>
      </c>
      <c r="BS39">
        <v>291</v>
      </c>
    </row>
    <row r="40" spans="1:71" x14ac:dyDescent="0.3">
      <c r="A40" s="18">
        <v>39</v>
      </c>
      <c r="B40" s="18" t="s">
        <v>1</v>
      </c>
      <c r="C40" s="18">
        <v>73</v>
      </c>
      <c r="D40" s="18">
        <v>0.25</v>
      </c>
      <c r="E40" s="18">
        <v>23.64001</v>
      </c>
      <c r="F40" s="18" t="s">
        <v>251</v>
      </c>
      <c r="G40" s="18">
        <v>186240291</v>
      </c>
      <c r="I40" s="18">
        <v>33</v>
      </c>
      <c r="J40" s="18" t="s">
        <v>1</v>
      </c>
      <c r="K40" s="18">
        <v>39</v>
      </c>
      <c r="L40" s="18">
        <v>0.25</v>
      </c>
      <c r="M40" s="18">
        <v>15.94</v>
      </c>
      <c r="N40" s="18" t="s">
        <v>242</v>
      </c>
      <c r="O40" s="18">
        <v>13398211</v>
      </c>
      <c r="Q40" s="19">
        <v>30</v>
      </c>
      <c r="R40" s="19" t="s">
        <v>1</v>
      </c>
      <c r="S40" s="19">
        <v>40</v>
      </c>
      <c r="T40" s="19">
        <v>0.25</v>
      </c>
      <c r="U40" s="19">
        <v>12.28</v>
      </c>
      <c r="V40" s="19" t="s">
        <v>100</v>
      </c>
      <c r="W40" s="19">
        <v>42240188</v>
      </c>
      <c r="Y40" s="5">
        <v>10</v>
      </c>
      <c r="Z40" s="5" t="s">
        <v>40</v>
      </c>
      <c r="AA40" s="5">
        <v>28</v>
      </c>
      <c r="AB40" s="5">
        <v>0.25</v>
      </c>
      <c r="AC40" s="5">
        <v>-131.1</v>
      </c>
      <c r="AD40" s="5" t="s">
        <v>75</v>
      </c>
      <c r="AE40" s="5">
        <v>1101543354</v>
      </c>
      <c r="AO40" s="17">
        <v>8</v>
      </c>
      <c r="AP40" s="17" t="s">
        <v>40</v>
      </c>
      <c r="AQ40" s="17">
        <v>29</v>
      </c>
      <c r="AR40" s="17">
        <v>1E-3</v>
      </c>
      <c r="AS40" s="15">
        <v>-191.57980000000001</v>
      </c>
      <c r="AT40" s="17" t="s">
        <v>212</v>
      </c>
      <c r="AU40" s="17">
        <v>118984334</v>
      </c>
      <c r="AW40" s="20">
        <v>5</v>
      </c>
      <c r="AX40" s="20" t="s">
        <v>40</v>
      </c>
      <c r="AY40" s="20">
        <v>15</v>
      </c>
      <c r="AZ40" s="20">
        <v>0.25</v>
      </c>
      <c r="BA40" s="20">
        <v>9.0799869999999991</v>
      </c>
      <c r="BB40" s="20" t="s">
        <v>293</v>
      </c>
      <c r="BC40" s="20">
        <v>83397749</v>
      </c>
      <c r="BM40">
        <v>15</v>
      </c>
      <c r="BN40" t="s">
        <v>1</v>
      </c>
      <c r="BO40">
        <v>61</v>
      </c>
      <c r="BP40" t="s">
        <v>307</v>
      </c>
      <c r="BQ40" s="37">
        <v>2829993</v>
      </c>
      <c r="BR40" t="s">
        <v>351</v>
      </c>
      <c r="BS40">
        <v>102951957</v>
      </c>
    </row>
    <row r="41" spans="1:71" x14ac:dyDescent="0.3">
      <c r="A41" s="18">
        <v>40</v>
      </c>
      <c r="B41" s="18" t="s">
        <v>40</v>
      </c>
      <c r="C41" s="18">
        <v>31</v>
      </c>
      <c r="D41" s="18">
        <v>0.25</v>
      </c>
      <c r="E41" s="18">
        <v>15.06</v>
      </c>
      <c r="F41" s="18" t="s">
        <v>252</v>
      </c>
      <c r="G41" s="18">
        <v>145118551</v>
      </c>
      <c r="I41" s="18">
        <v>34</v>
      </c>
      <c r="J41" s="18" t="s">
        <v>40</v>
      </c>
      <c r="K41" s="18">
        <v>54</v>
      </c>
      <c r="L41" s="18">
        <v>0.25</v>
      </c>
      <c r="M41" s="18">
        <v>108.78</v>
      </c>
      <c r="N41" s="18" t="s">
        <v>243</v>
      </c>
      <c r="O41" s="18">
        <v>173250231</v>
      </c>
      <c r="Q41" s="19">
        <v>31</v>
      </c>
      <c r="R41" s="19" t="s">
        <v>40</v>
      </c>
      <c r="S41" s="19">
        <v>14</v>
      </c>
      <c r="T41" s="19">
        <v>0.25</v>
      </c>
      <c r="U41" s="19">
        <v>5.4600030000000004</v>
      </c>
      <c r="V41" s="19" t="s">
        <v>259</v>
      </c>
      <c r="W41" s="19">
        <v>82991024</v>
      </c>
      <c r="Y41" s="5">
        <v>10</v>
      </c>
      <c r="Z41" s="5" t="s">
        <v>1</v>
      </c>
      <c r="AA41" s="5">
        <v>42</v>
      </c>
      <c r="AB41" s="5">
        <v>0.25</v>
      </c>
      <c r="AC41" s="5">
        <v>17.959959999999999</v>
      </c>
      <c r="AD41" s="5" t="s">
        <v>76</v>
      </c>
      <c r="AE41" s="5">
        <v>-204971713</v>
      </c>
      <c r="AO41" s="17">
        <v>8</v>
      </c>
      <c r="AP41" s="17" t="s">
        <v>1</v>
      </c>
      <c r="AQ41" s="17">
        <v>72</v>
      </c>
      <c r="AR41" s="17">
        <v>1E-3</v>
      </c>
      <c r="AS41" s="17">
        <v>52.89978</v>
      </c>
      <c r="AT41" s="17" t="s">
        <v>213</v>
      </c>
      <c r="AU41" s="17">
        <v>147500304</v>
      </c>
      <c r="AW41" s="20">
        <v>5</v>
      </c>
      <c r="AX41" s="20" t="s">
        <v>40</v>
      </c>
      <c r="AY41" s="20">
        <v>37</v>
      </c>
      <c r="AZ41" s="20">
        <v>0.25</v>
      </c>
      <c r="BA41" s="20">
        <v>19.38</v>
      </c>
      <c r="BB41" s="20" t="s">
        <v>294</v>
      </c>
      <c r="BC41" s="20">
        <v>182</v>
      </c>
      <c r="BM41">
        <v>16</v>
      </c>
      <c r="BN41" t="s">
        <v>40</v>
      </c>
      <c r="BO41">
        <v>24</v>
      </c>
      <c r="BP41" t="s">
        <v>307</v>
      </c>
      <c r="BQ41" s="37">
        <v>1630005</v>
      </c>
      <c r="BR41" t="s">
        <v>352</v>
      </c>
      <c r="BS41">
        <v>71212739</v>
      </c>
    </row>
    <row r="42" spans="1:71" x14ac:dyDescent="0.3">
      <c r="A42" s="18">
        <v>40</v>
      </c>
      <c r="B42" s="18" t="s">
        <v>1</v>
      </c>
      <c r="C42" s="18">
        <v>41</v>
      </c>
      <c r="D42" s="18">
        <v>0.25</v>
      </c>
      <c r="E42" s="18">
        <v>15.10004</v>
      </c>
      <c r="F42" s="18" t="s">
        <v>28</v>
      </c>
      <c r="G42" s="18">
        <v>127734589</v>
      </c>
      <c r="I42" s="18">
        <v>34</v>
      </c>
      <c r="J42" s="18" t="s">
        <v>1</v>
      </c>
      <c r="K42" s="18">
        <v>94</v>
      </c>
      <c r="L42" s="18">
        <v>0.25</v>
      </c>
      <c r="M42" s="18">
        <v>41.679989999999997</v>
      </c>
      <c r="N42" s="18" t="s">
        <v>244</v>
      </c>
      <c r="O42" s="18">
        <v>73800373</v>
      </c>
      <c r="Q42" s="19">
        <v>31</v>
      </c>
      <c r="R42" s="19" t="s">
        <v>1</v>
      </c>
      <c r="S42" s="19">
        <v>34</v>
      </c>
      <c r="T42" s="19">
        <v>0.25</v>
      </c>
      <c r="U42" s="19">
        <v>14.18</v>
      </c>
      <c r="V42" s="19" t="s">
        <v>238</v>
      </c>
      <c r="W42" s="19">
        <v>55114161</v>
      </c>
      <c r="Y42" s="5">
        <v>11</v>
      </c>
      <c r="Z42" s="5" t="s">
        <v>40</v>
      </c>
      <c r="AA42" s="5">
        <v>25</v>
      </c>
      <c r="AB42" s="5">
        <v>0.25</v>
      </c>
      <c r="AC42" s="5">
        <v>-1.9599610000000001</v>
      </c>
      <c r="AD42" s="5" t="s">
        <v>77</v>
      </c>
      <c r="AE42" s="5">
        <v>-2069403952</v>
      </c>
      <c r="AO42" s="17">
        <v>9</v>
      </c>
      <c r="AP42" s="17" t="s">
        <v>40</v>
      </c>
      <c r="AQ42" s="17">
        <v>14</v>
      </c>
      <c r="AR42" s="17">
        <v>1E-3</v>
      </c>
      <c r="AS42" s="15">
        <v>-3.359985</v>
      </c>
      <c r="AT42" s="17" t="s">
        <v>214</v>
      </c>
      <c r="AU42" s="17">
        <v>57920101</v>
      </c>
      <c r="AW42" s="20">
        <v>5</v>
      </c>
      <c r="AX42" s="20" t="s">
        <v>40</v>
      </c>
      <c r="AY42" s="20">
        <v>5</v>
      </c>
      <c r="AZ42" s="20">
        <v>0.25</v>
      </c>
      <c r="BA42" s="20">
        <v>3.3600159999999999</v>
      </c>
      <c r="BB42" s="20" t="s">
        <v>295</v>
      </c>
      <c r="BC42" s="20">
        <v>17507273</v>
      </c>
      <c r="BM42">
        <v>16</v>
      </c>
      <c r="BN42" t="s">
        <v>40</v>
      </c>
      <c r="BO42">
        <v>33</v>
      </c>
      <c r="BP42" t="s">
        <v>307</v>
      </c>
      <c r="BQ42" t="s">
        <v>353</v>
      </c>
      <c r="BR42" t="s">
        <v>354</v>
      </c>
      <c r="BS42">
        <v>47656169</v>
      </c>
    </row>
    <row r="43" spans="1:71" x14ac:dyDescent="0.3">
      <c r="A43" s="18">
        <v>41</v>
      </c>
      <c r="B43" s="18" t="s">
        <v>1</v>
      </c>
      <c r="C43" s="18">
        <v>50</v>
      </c>
      <c r="D43" s="18">
        <v>0.25</v>
      </c>
      <c r="E43" s="18">
        <v>15.979979999999999</v>
      </c>
      <c r="F43" s="18" t="s">
        <v>253</v>
      </c>
      <c r="G43" s="18">
        <v>265</v>
      </c>
      <c r="I43" s="18">
        <v>35</v>
      </c>
      <c r="J43" s="18" t="s">
        <v>1</v>
      </c>
      <c r="K43" s="18">
        <v>76</v>
      </c>
      <c r="L43" s="18">
        <v>0.25</v>
      </c>
      <c r="M43" s="18">
        <v>28.319949999999999</v>
      </c>
      <c r="N43" s="18" t="s">
        <v>245</v>
      </c>
      <c r="O43" s="18">
        <v>167404467</v>
      </c>
      <c r="Q43" s="19">
        <v>32</v>
      </c>
      <c r="R43" s="19" t="s">
        <v>1</v>
      </c>
      <c r="S43" s="19">
        <v>32</v>
      </c>
      <c r="T43" s="19">
        <v>0.25</v>
      </c>
      <c r="U43" s="19">
        <v>10.220000000000001</v>
      </c>
      <c r="V43" s="19" t="s">
        <v>24</v>
      </c>
      <c r="W43" s="19">
        <v>49030565</v>
      </c>
      <c r="Y43" s="5">
        <v>11</v>
      </c>
      <c r="Z43" s="5" t="s">
        <v>40</v>
      </c>
      <c r="AA43" s="5">
        <v>8</v>
      </c>
      <c r="AB43" s="5">
        <v>0.25</v>
      </c>
      <c r="AC43" s="5">
        <v>-34.92004</v>
      </c>
      <c r="AD43" s="5" t="s">
        <v>78</v>
      </c>
      <c r="AE43" s="5">
        <v>-1981581667</v>
      </c>
      <c r="AO43" s="17">
        <v>9</v>
      </c>
      <c r="AP43" s="17" t="s">
        <v>40</v>
      </c>
      <c r="AQ43" s="17">
        <v>14</v>
      </c>
      <c r="AR43" s="17">
        <v>1E-3</v>
      </c>
      <c r="AS43" s="15">
        <v>-26.660029999999999</v>
      </c>
      <c r="AT43" s="17" t="s">
        <v>215</v>
      </c>
      <c r="AU43" s="17">
        <v>81450520</v>
      </c>
      <c r="AW43" s="20">
        <v>5</v>
      </c>
      <c r="AX43" s="20" t="s">
        <v>1</v>
      </c>
      <c r="AY43" s="20">
        <v>52</v>
      </c>
      <c r="AZ43" s="20">
        <v>0.25</v>
      </c>
      <c r="BA43" s="20">
        <v>23</v>
      </c>
      <c r="BB43" s="20" t="s">
        <v>296</v>
      </c>
      <c r="BC43" s="20">
        <v>169600220</v>
      </c>
      <c r="BM43">
        <v>16</v>
      </c>
      <c r="BN43" t="s">
        <v>40</v>
      </c>
      <c r="BO43">
        <v>8</v>
      </c>
      <c r="BP43" t="s">
        <v>307</v>
      </c>
      <c r="BQ43" s="37">
        <v>823999</v>
      </c>
      <c r="BR43" t="s">
        <v>355</v>
      </c>
      <c r="BS43">
        <v>80063326</v>
      </c>
    </row>
    <row r="44" spans="1:71" x14ac:dyDescent="0.3">
      <c r="A44" s="18">
        <v>42</v>
      </c>
      <c r="B44" s="18" t="s">
        <v>1</v>
      </c>
      <c r="C44" s="18">
        <v>18</v>
      </c>
      <c r="D44" s="18">
        <v>0.25</v>
      </c>
      <c r="E44" s="18">
        <v>5.7598880000000001</v>
      </c>
      <c r="F44" s="18" t="s">
        <v>254</v>
      </c>
      <c r="G44" s="18">
        <v>7560175</v>
      </c>
      <c r="I44" s="18">
        <v>36</v>
      </c>
      <c r="J44" s="18" t="s">
        <v>1</v>
      </c>
      <c r="K44" s="18">
        <v>39</v>
      </c>
      <c r="L44" s="18">
        <v>0.25</v>
      </c>
      <c r="M44" s="18">
        <v>22.760010000000001</v>
      </c>
      <c r="N44" s="18" t="s">
        <v>246</v>
      </c>
      <c r="O44" s="18">
        <v>146523090</v>
      </c>
      <c r="Y44" s="5">
        <v>11</v>
      </c>
      <c r="Z44" s="5" t="s">
        <v>40</v>
      </c>
      <c r="AA44" s="5">
        <v>9</v>
      </c>
      <c r="AB44" s="5">
        <v>0.25</v>
      </c>
      <c r="AC44" s="5">
        <v>-45.760010000000001</v>
      </c>
      <c r="AD44" s="5" t="s">
        <v>79</v>
      </c>
      <c r="AE44" s="5">
        <v>-2084873543</v>
      </c>
      <c r="AO44" s="17">
        <v>9</v>
      </c>
      <c r="AP44" s="17" t="s">
        <v>40</v>
      </c>
      <c r="AQ44" s="17">
        <v>47</v>
      </c>
      <c r="AR44" s="17">
        <v>1E-3</v>
      </c>
      <c r="AS44" s="15">
        <v>-45.960450000000002</v>
      </c>
      <c r="AT44" s="17" t="s">
        <v>216</v>
      </c>
      <c r="AU44" s="17">
        <v>111504202</v>
      </c>
      <c r="AW44" s="20">
        <v>6</v>
      </c>
      <c r="AX44" s="20" t="s">
        <v>40</v>
      </c>
      <c r="AY44" s="20">
        <v>52</v>
      </c>
      <c r="AZ44" s="20">
        <v>0.25</v>
      </c>
      <c r="BA44" s="20">
        <v>49.040039999999998</v>
      </c>
      <c r="BB44" s="20" t="s">
        <v>297</v>
      </c>
      <c r="BC44" s="20">
        <v>74289812</v>
      </c>
      <c r="BM44">
        <v>16</v>
      </c>
      <c r="BN44" t="s">
        <v>40</v>
      </c>
      <c r="BO44">
        <v>17</v>
      </c>
      <c r="BP44" t="s">
        <v>307</v>
      </c>
      <c r="BQ44" s="37">
        <v>747998</v>
      </c>
      <c r="BR44" t="s">
        <v>356</v>
      </c>
      <c r="BS44">
        <v>28142554</v>
      </c>
    </row>
    <row r="45" spans="1:71" x14ac:dyDescent="0.3">
      <c r="A45" s="18">
        <v>43</v>
      </c>
      <c r="B45" s="18" t="s">
        <v>1</v>
      </c>
      <c r="C45" s="18">
        <v>55</v>
      </c>
      <c r="D45" s="18">
        <v>0.25</v>
      </c>
      <c r="E45" s="18">
        <v>21.279910000000001</v>
      </c>
      <c r="F45" s="18" t="s">
        <v>255</v>
      </c>
      <c r="G45" s="18">
        <v>118481212</v>
      </c>
      <c r="I45" s="18">
        <v>36</v>
      </c>
      <c r="J45" s="18" t="s">
        <v>40</v>
      </c>
      <c r="K45" s="18">
        <v>39</v>
      </c>
      <c r="L45" s="18">
        <v>0.25</v>
      </c>
      <c r="M45" s="18">
        <v>25.5</v>
      </c>
      <c r="N45" s="18" t="s">
        <v>246</v>
      </c>
      <c r="O45" s="18">
        <v>560183</v>
      </c>
      <c r="Y45" s="5">
        <v>11</v>
      </c>
      <c r="Z45" s="5" t="s">
        <v>1</v>
      </c>
      <c r="AA45" s="5">
        <v>49</v>
      </c>
      <c r="AB45" s="5">
        <v>0.25</v>
      </c>
      <c r="AC45" s="5">
        <v>24.92004</v>
      </c>
      <c r="AD45" s="5" t="s">
        <v>80</v>
      </c>
      <c r="AE45" s="5">
        <v>-1314316082</v>
      </c>
      <c r="AW45" s="20">
        <v>6</v>
      </c>
      <c r="AX45" s="20" t="s">
        <v>40</v>
      </c>
      <c r="AY45" s="20">
        <v>122</v>
      </c>
      <c r="AZ45" s="20">
        <v>0.25</v>
      </c>
      <c r="BA45" s="20">
        <v>75.580020000000005</v>
      </c>
      <c r="BB45" s="20" t="s">
        <v>298</v>
      </c>
      <c r="BC45" s="20">
        <v>399</v>
      </c>
      <c r="BM45">
        <v>16</v>
      </c>
      <c r="BN45" t="s">
        <v>1</v>
      </c>
      <c r="BO45">
        <v>59</v>
      </c>
      <c r="BP45" t="s">
        <v>307</v>
      </c>
      <c r="BQ45" t="s">
        <v>357</v>
      </c>
      <c r="BR45" t="s">
        <v>358</v>
      </c>
      <c r="BS45">
        <v>125952251</v>
      </c>
    </row>
    <row r="46" spans="1:71" x14ac:dyDescent="0.3">
      <c r="A46" s="18">
        <v>43</v>
      </c>
      <c r="B46" s="18" t="s">
        <v>40</v>
      </c>
      <c r="C46" s="18">
        <v>55</v>
      </c>
      <c r="D46" s="18">
        <v>0.25</v>
      </c>
      <c r="E46" s="18">
        <v>22.29993</v>
      </c>
      <c r="F46" s="18" t="s">
        <v>255</v>
      </c>
      <c r="G46" s="18">
        <v>70715436</v>
      </c>
      <c r="I46" s="18">
        <v>36</v>
      </c>
      <c r="J46" s="18" t="s">
        <v>1</v>
      </c>
      <c r="K46" s="18">
        <v>29</v>
      </c>
      <c r="L46" s="18">
        <v>0.25</v>
      </c>
      <c r="M46" s="18">
        <v>10.34003</v>
      </c>
      <c r="N46" s="18" t="s">
        <v>149</v>
      </c>
      <c r="O46" s="18">
        <v>135674179</v>
      </c>
      <c r="Y46" s="5">
        <v>12</v>
      </c>
      <c r="Z46" s="5" t="s">
        <v>1</v>
      </c>
      <c r="AA46" s="5">
        <v>61</v>
      </c>
      <c r="AB46" s="5">
        <v>0.25</v>
      </c>
      <c r="AC46" s="5">
        <v>28.900020000000001</v>
      </c>
      <c r="AD46" s="5" t="s">
        <v>81</v>
      </c>
      <c r="AE46" s="5">
        <v>-1307237748</v>
      </c>
      <c r="AW46" s="20">
        <v>6</v>
      </c>
      <c r="AX46" s="20" t="s">
        <v>40</v>
      </c>
      <c r="AY46" s="20">
        <v>12</v>
      </c>
      <c r="AZ46" s="20">
        <v>0.25</v>
      </c>
      <c r="BA46" s="20">
        <v>17.279969999999999</v>
      </c>
      <c r="BB46" s="20" t="s">
        <v>299</v>
      </c>
      <c r="BC46" s="20">
        <v>121841475</v>
      </c>
      <c r="BM46">
        <v>17</v>
      </c>
      <c r="BN46" t="s">
        <v>40</v>
      </c>
      <c r="BO46">
        <v>5</v>
      </c>
      <c r="BP46" t="s">
        <v>307</v>
      </c>
      <c r="BQ46" s="37">
        <v>2940063</v>
      </c>
      <c r="BR46" t="s">
        <v>359</v>
      </c>
      <c r="BS46">
        <v>44324268</v>
      </c>
    </row>
    <row r="47" spans="1:71" x14ac:dyDescent="0.3">
      <c r="A47" s="18">
        <v>43</v>
      </c>
      <c r="B47" s="18" t="s">
        <v>1</v>
      </c>
      <c r="C47" s="18">
        <v>47</v>
      </c>
      <c r="D47" s="18">
        <v>0.25</v>
      </c>
      <c r="E47" s="18">
        <v>15.679930000000001</v>
      </c>
      <c r="F47" s="18" t="s">
        <v>256</v>
      </c>
      <c r="G47" s="18">
        <v>186945846</v>
      </c>
      <c r="I47" s="18">
        <v>37</v>
      </c>
      <c r="J47" s="18" t="s">
        <v>40</v>
      </c>
      <c r="K47" s="18">
        <v>23</v>
      </c>
      <c r="L47" s="18">
        <v>0.25</v>
      </c>
      <c r="M47" s="18">
        <v>13.35999</v>
      </c>
      <c r="N47" s="18" t="s">
        <v>247</v>
      </c>
      <c r="O47" s="18">
        <v>116692954</v>
      </c>
      <c r="Y47" s="5">
        <v>13</v>
      </c>
      <c r="Z47" s="5" t="s">
        <v>1</v>
      </c>
      <c r="AA47" s="5">
        <v>80</v>
      </c>
      <c r="AB47" s="5">
        <v>0.25</v>
      </c>
      <c r="AC47" s="5">
        <v>40.059939999999997</v>
      </c>
      <c r="AD47" s="5" t="s">
        <v>82</v>
      </c>
      <c r="AE47" s="5">
        <v>-2067969056</v>
      </c>
      <c r="AW47" s="20">
        <v>7</v>
      </c>
      <c r="AX47" s="20" t="s">
        <v>40</v>
      </c>
      <c r="AY47" s="20">
        <v>13</v>
      </c>
      <c r="AZ47" s="20">
        <v>0.25</v>
      </c>
      <c r="BA47" s="20">
        <v>7</v>
      </c>
      <c r="BB47" s="20" t="s">
        <v>300</v>
      </c>
      <c r="BC47" s="20">
        <v>30385002</v>
      </c>
      <c r="BM47">
        <v>17</v>
      </c>
      <c r="BN47" t="s">
        <v>40</v>
      </c>
      <c r="BO47">
        <v>7</v>
      </c>
      <c r="BP47" t="s">
        <v>307</v>
      </c>
      <c r="BQ47" s="37">
        <v>7140015</v>
      </c>
      <c r="BR47" t="s">
        <v>360</v>
      </c>
      <c r="BS47">
        <v>44659663</v>
      </c>
    </row>
    <row r="48" spans="1:71" x14ac:dyDescent="0.3">
      <c r="A48" s="18">
        <v>44</v>
      </c>
      <c r="B48" s="18" t="s">
        <v>1</v>
      </c>
      <c r="C48" s="18">
        <v>56</v>
      </c>
      <c r="D48" s="18">
        <v>0.25</v>
      </c>
      <c r="E48" s="18">
        <v>18.239989999999999</v>
      </c>
      <c r="F48" s="18" t="s">
        <v>257</v>
      </c>
      <c r="G48" s="18">
        <v>191094030</v>
      </c>
      <c r="I48" s="18">
        <v>37</v>
      </c>
      <c r="J48" s="18" t="s">
        <v>1</v>
      </c>
      <c r="K48" s="18">
        <v>40</v>
      </c>
      <c r="L48" s="18">
        <v>0.25</v>
      </c>
      <c r="M48" s="18">
        <v>28.520019999999999</v>
      </c>
      <c r="N48" s="18" t="s">
        <v>248</v>
      </c>
      <c r="O48" s="18">
        <v>55972034</v>
      </c>
      <c r="Y48" s="5">
        <v>14</v>
      </c>
      <c r="Z48" s="5" t="s">
        <v>40</v>
      </c>
      <c r="AA48" s="5">
        <v>44</v>
      </c>
      <c r="AB48" s="5">
        <v>0.25</v>
      </c>
      <c r="AC48" s="5">
        <v>-1.9000239999999999</v>
      </c>
      <c r="AD48" s="5" t="s">
        <v>83</v>
      </c>
      <c r="AE48" s="5">
        <v>2054285972</v>
      </c>
      <c r="AW48" s="20">
        <v>7</v>
      </c>
      <c r="AX48" s="20" t="s">
        <v>40</v>
      </c>
      <c r="AY48" s="20">
        <v>20</v>
      </c>
      <c r="AZ48" s="20">
        <v>0.25</v>
      </c>
      <c r="BA48" s="20">
        <v>20.040040000000001</v>
      </c>
      <c r="BB48" s="20" t="s">
        <v>301</v>
      </c>
      <c r="BC48" s="20">
        <v>29464120</v>
      </c>
      <c r="BM48">
        <v>17</v>
      </c>
      <c r="BN48" t="s">
        <v>40</v>
      </c>
      <c r="BO48">
        <v>10</v>
      </c>
      <c r="BP48" t="s">
        <v>307</v>
      </c>
      <c r="BQ48" s="37">
        <v>1043994</v>
      </c>
      <c r="BR48" t="s">
        <v>361</v>
      </c>
      <c r="BS48">
        <v>16433389</v>
      </c>
    </row>
    <row r="49" spans="1:71" x14ac:dyDescent="0.3">
      <c r="A49" s="18">
        <v>45</v>
      </c>
      <c r="B49" s="18" t="s">
        <v>1</v>
      </c>
      <c r="C49" s="18">
        <v>35</v>
      </c>
      <c r="D49" s="18">
        <v>0.25</v>
      </c>
      <c r="E49" s="18">
        <v>12.300050000000001</v>
      </c>
      <c r="F49" s="18" t="s">
        <v>258</v>
      </c>
      <c r="G49" s="18">
        <v>3964979</v>
      </c>
      <c r="I49" s="18">
        <v>38</v>
      </c>
      <c r="J49" s="18" t="s">
        <v>40</v>
      </c>
      <c r="K49" s="18">
        <v>85</v>
      </c>
      <c r="L49" s="18">
        <v>0.25</v>
      </c>
      <c r="M49" s="18">
        <v>35.89996</v>
      </c>
      <c r="N49" s="18" t="s">
        <v>249</v>
      </c>
      <c r="O49" s="18">
        <v>192600326</v>
      </c>
      <c r="Y49" s="5">
        <v>14</v>
      </c>
      <c r="Z49" s="5" t="s">
        <v>40</v>
      </c>
      <c r="AA49" s="5">
        <v>17</v>
      </c>
      <c r="AB49" s="5">
        <v>0.25</v>
      </c>
      <c r="AC49" s="5">
        <v>-53.860109999999999</v>
      </c>
      <c r="AD49" s="5" t="s">
        <v>84</v>
      </c>
      <c r="AE49" s="5">
        <v>-193552507</v>
      </c>
      <c r="BM49">
        <v>17</v>
      </c>
      <c r="BN49" t="s">
        <v>40</v>
      </c>
      <c r="BO49">
        <v>13</v>
      </c>
      <c r="BP49" t="s">
        <v>307</v>
      </c>
      <c r="BQ49" s="37">
        <v>1124011</v>
      </c>
      <c r="BR49" t="s">
        <v>362</v>
      </c>
      <c r="BS49">
        <v>11947627</v>
      </c>
    </row>
    <row r="50" spans="1:71" x14ac:dyDescent="0.3">
      <c r="A50" s="19">
        <v>73</v>
      </c>
      <c r="B50" s="19" t="s">
        <v>1</v>
      </c>
      <c r="C50" s="19">
        <v>61</v>
      </c>
      <c r="D50" s="19">
        <v>0.25</v>
      </c>
      <c r="E50" s="19">
        <v>20.959959999999999</v>
      </c>
      <c r="F50" s="19" t="s">
        <v>165</v>
      </c>
      <c r="G50" s="19">
        <v>-828393125</v>
      </c>
      <c r="I50" s="18">
        <v>38</v>
      </c>
      <c r="J50" s="18" t="s">
        <v>1</v>
      </c>
      <c r="K50" s="18">
        <v>93</v>
      </c>
      <c r="L50" s="18">
        <v>0.25</v>
      </c>
      <c r="M50" s="18">
        <v>56.319949999999999</v>
      </c>
      <c r="N50" s="18" t="s">
        <v>250</v>
      </c>
      <c r="O50" s="18">
        <v>216600361</v>
      </c>
      <c r="Y50" s="5">
        <v>14</v>
      </c>
      <c r="Z50" s="5" t="s">
        <v>1</v>
      </c>
      <c r="AA50" s="5">
        <v>105</v>
      </c>
      <c r="AB50" s="5">
        <v>0.25</v>
      </c>
      <c r="AC50" s="5">
        <v>90.660030000000006</v>
      </c>
      <c r="AD50" s="5" t="s">
        <v>85</v>
      </c>
      <c r="AE50" s="5">
        <v>-469581375</v>
      </c>
      <c r="BM50">
        <v>17</v>
      </c>
      <c r="BN50" t="s">
        <v>40</v>
      </c>
      <c r="BO50">
        <v>7</v>
      </c>
      <c r="BP50" t="s">
        <v>307</v>
      </c>
      <c r="BQ50" s="37">
        <v>4099976</v>
      </c>
      <c r="BR50" t="s">
        <v>363</v>
      </c>
      <c r="BS50">
        <v>20313724</v>
      </c>
    </row>
    <row r="51" spans="1:71" x14ac:dyDescent="0.3">
      <c r="A51" s="19">
        <v>74</v>
      </c>
      <c r="B51" s="19" t="s">
        <v>1</v>
      </c>
      <c r="C51" s="19">
        <v>95</v>
      </c>
      <c r="D51" s="19">
        <v>0.25</v>
      </c>
      <c r="E51" s="19">
        <v>35.700000000000003</v>
      </c>
      <c r="F51" s="19" t="s">
        <v>168</v>
      </c>
      <c r="G51" s="19">
        <v>-2081999296</v>
      </c>
      <c r="I51" s="18">
        <v>39</v>
      </c>
      <c r="J51" s="18" t="s">
        <v>1</v>
      </c>
      <c r="K51" s="18">
        <v>73</v>
      </c>
      <c r="L51" s="18">
        <v>0.25</v>
      </c>
      <c r="M51" s="18">
        <v>23.64001</v>
      </c>
      <c r="N51" s="18" t="s">
        <v>251</v>
      </c>
      <c r="O51" s="18">
        <v>186240291</v>
      </c>
      <c r="Y51" s="5">
        <v>15</v>
      </c>
      <c r="Z51" s="5" t="s">
        <v>40</v>
      </c>
      <c r="AA51" s="5">
        <v>23</v>
      </c>
      <c r="AB51" s="5">
        <v>0.25</v>
      </c>
      <c r="AC51" s="5">
        <v>-1.199951</v>
      </c>
      <c r="AD51" s="5" t="s">
        <v>86</v>
      </c>
      <c r="AE51" s="5">
        <v>-751674547</v>
      </c>
      <c r="BM51">
        <v>17</v>
      </c>
      <c r="BN51" t="s">
        <v>40</v>
      </c>
      <c r="BO51">
        <v>10</v>
      </c>
      <c r="BP51" t="s">
        <v>307</v>
      </c>
      <c r="BQ51">
        <v>8</v>
      </c>
      <c r="BR51" t="s">
        <v>364</v>
      </c>
      <c r="BS51">
        <v>26669479</v>
      </c>
    </row>
    <row r="52" spans="1:71" x14ac:dyDescent="0.3">
      <c r="A52" s="19">
        <v>75</v>
      </c>
      <c r="B52" s="19" t="s">
        <v>1</v>
      </c>
      <c r="C52" s="19">
        <v>170</v>
      </c>
      <c r="D52" s="19">
        <v>0.25</v>
      </c>
      <c r="E52" s="19">
        <v>67.759990000000002</v>
      </c>
      <c r="F52" s="19" t="s">
        <v>169</v>
      </c>
      <c r="G52" s="19">
        <v>-61789180</v>
      </c>
      <c r="I52" s="18">
        <v>40</v>
      </c>
      <c r="J52" s="18" t="s">
        <v>40</v>
      </c>
      <c r="K52" s="18">
        <v>31</v>
      </c>
      <c r="L52" s="18">
        <v>0.25</v>
      </c>
      <c r="M52" s="18">
        <v>15.06</v>
      </c>
      <c r="N52" s="18" t="s">
        <v>252</v>
      </c>
      <c r="O52" s="18">
        <v>145118551</v>
      </c>
      <c r="Y52" s="5">
        <v>15</v>
      </c>
      <c r="Z52" s="5" t="s">
        <v>40</v>
      </c>
      <c r="AA52" s="5">
        <v>18</v>
      </c>
      <c r="AB52" s="5">
        <v>0.25</v>
      </c>
      <c r="AC52" s="5">
        <v>-50.140009999999997</v>
      </c>
      <c r="AD52" s="5" t="s">
        <v>87</v>
      </c>
      <c r="AE52" s="5">
        <v>1032113360</v>
      </c>
      <c r="BM52">
        <v>17</v>
      </c>
      <c r="BN52" t="s">
        <v>40</v>
      </c>
      <c r="BO52">
        <v>7</v>
      </c>
      <c r="BP52" t="s">
        <v>307</v>
      </c>
      <c r="BQ52" s="37">
        <v>7140015</v>
      </c>
      <c r="BR52" t="s">
        <v>365</v>
      </c>
      <c r="BS52">
        <v>44659664</v>
      </c>
    </row>
    <row r="53" spans="1:71" x14ac:dyDescent="0.3">
      <c r="A53" s="19">
        <v>76</v>
      </c>
      <c r="B53" s="19" t="s">
        <v>1</v>
      </c>
      <c r="C53" s="19">
        <v>59</v>
      </c>
      <c r="D53" s="19">
        <v>0.25</v>
      </c>
      <c r="E53" s="19">
        <v>35.599989999999998</v>
      </c>
      <c r="F53" s="19" t="s">
        <v>174</v>
      </c>
      <c r="G53" s="19">
        <v>478083329</v>
      </c>
      <c r="I53" s="18">
        <v>40</v>
      </c>
      <c r="J53" s="18" t="s">
        <v>1</v>
      </c>
      <c r="K53" s="18">
        <v>41</v>
      </c>
      <c r="L53" s="18">
        <v>0.25</v>
      </c>
      <c r="M53" s="18">
        <v>15.10004</v>
      </c>
      <c r="N53" s="18" t="s">
        <v>28</v>
      </c>
      <c r="O53" s="18">
        <v>127734589</v>
      </c>
      <c r="Y53" s="5">
        <v>15</v>
      </c>
      <c r="Z53" s="5" t="s">
        <v>40</v>
      </c>
      <c r="AA53" s="5">
        <v>22</v>
      </c>
      <c r="AB53" s="5">
        <v>0.25</v>
      </c>
      <c r="AC53" s="5">
        <v>-91.439940000000007</v>
      </c>
      <c r="AD53" s="5" t="s">
        <v>88</v>
      </c>
      <c r="AE53" s="5">
        <v>-473504380</v>
      </c>
      <c r="BM53">
        <v>17</v>
      </c>
      <c r="BN53" t="s">
        <v>40</v>
      </c>
      <c r="BO53">
        <v>16</v>
      </c>
      <c r="BP53" t="s">
        <v>307</v>
      </c>
      <c r="BQ53" s="37">
        <v>1231995</v>
      </c>
      <c r="BR53" t="s">
        <v>366</v>
      </c>
      <c r="BS53">
        <v>78336132</v>
      </c>
    </row>
    <row r="54" spans="1:71" x14ac:dyDescent="0.3">
      <c r="A54" s="19">
        <v>23</v>
      </c>
      <c r="B54" s="19" t="s">
        <v>40</v>
      </c>
      <c r="C54" s="19">
        <v>12</v>
      </c>
      <c r="D54" s="19">
        <v>0.25</v>
      </c>
      <c r="E54" s="19">
        <v>7.5</v>
      </c>
      <c r="F54" s="19" t="s">
        <v>218</v>
      </c>
      <c r="G54" s="19">
        <v>35235347</v>
      </c>
      <c r="I54" s="18">
        <v>41</v>
      </c>
      <c r="J54" s="18" t="s">
        <v>1</v>
      </c>
      <c r="K54" s="18">
        <v>50</v>
      </c>
      <c r="L54" s="18">
        <v>0.25</v>
      </c>
      <c r="M54" s="18">
        <v>15.979979999999999</v>
      </c>
      <c r="N54" s="18" t="s">
        <v>253</v>
      </c>
      <c r="O54" s="18">
        <v>265</v>
      </c>
      <c r="Y54" s="5">
        <v>15</v>
      </c>
      <c r="Z54" s="5" t="s">
        <v>40</v>
      </c>
      <c r="AA54" s="5">
        <v>50</v>
      </c>
      <c r="AB54" s="5">
        <v>0.25</v>
      </c>
      <c r="AC54" s="5">
        <v>-120.2799</v>
      </c>
      <c r="AD54" s="5" t="s">
        <v>89</v>
      </c>
      <c r="AE54" s="5">
        <v>1462722188</v>
      </c>
      <c r="BM54">
        <v>17</v>
      </c>
      <c r="BN54" t="s">
        <v>40</v>
      </c>
      <c r="BO54">
        <v>12</v>
      </c>
      <c r="BP54" t="s">
        <v>307</v>
      </c>
      <c r="BQ54" s="37">
        <v>8440063</v>
      </c>
      <c r="BR54" t="s">
        <v>367</v>
      </c>
      <c r="BS54">
        <v>60902520</v>
      </c>
    </row>
    <row r="55" spans="1:71" x14ac:dyDescent="0.3">
      <c r="A55" s="19">
        <v>23</v>
      </c>
      <c r="B55" s="19" t="s">
        <v>1</v>
      </c>
      <c r="C55" s="19">
        <v>84</v>
      </c>
      <c r="D55" s="19">
        <v>0.25</v>
      </c>
      <c r="E55" s="19">
        <v>52.22</v>
      </c>
      <c r="F55" s="19" t="s">
        <v>219</v>
      </c>
      <c r="G55" s="19">
        <v>244440321</v>
      </c>
      <c r="I55" s="18">
        <v>42</v>
      </c>
      <c r="J55" s="18" t="s">
        <v>1</v>
      </c>
      <c r="K55" s="18">
        <v>18</v>
      </c>
      <c r="L55" s="18">
        <v>0.25</v>
      </c>
      <c r="M55" s="18">
        <v>5.7598880000000001</v>
      </c>
      <c r="N55" s="18" t="s">
        <v>254</v>
      </c>
      <c r="O55" s="18">
        <v>7560175</v>
      </c>
      <c r="Y55" s="5">
        <v>15</v>
      </c>
      <c r="Z55" s="5" t="s">
        <v>40</v>
      </c>
      <c r="AA55" s="5">
        <v>40</v>
      </c>
      <c r="AB55" s="5">
        <v>0.25</v>
      </c>
      <c r="AC55" s="5">
        <v>-206</v>
      </c>
      <c r="AD55" s="5" t="s">
        <v>90</v>
      </c>
      <c r="AE55" s="5">
        <v>-634275107</v>
      </c>
      <c r="BM55">
        <v>17</v>
      </c>
      <c r="BN55" t="s">
        <v>40</v>
      </c>
      <c r="BO55">
        <v>14</v>
      </c>
      <c r="BP55" t="s">
        <v>307</v>
      </c>
      <c r="BQ55" s="37">
        <v>1414001</v>
      </c>
      <c r="BR55" t="s">
        <v>368</v>
      </c>
      <c r="BS55">
        <v>65570031</v>
      </c>
    </row>
    <row r="56" spans="1:71" x14ac:dyDescent="0.3">
      <c r="A56" s="19">
        <v>24</v>
      </c>
      <c r="B56" s="19" t="s">
        <v>1</v>
      </c>
      <c r="C56" s="19">
        <v>183</v>
      </c>
      <c r="D56" s="19">
        <v>0.25</v>
      </c>
      <c r="E56" s="19">
        <v>83.06</v>
      </c>
      <c r="F56" s="19" t="s">
        <v>220</v>
      </c>
      <c r="G56" s="19">
        <v>565</v>
      </c>
      <c r="I56" s="18">
        <v>43</v>
      </c>
      <c r="J56" s="18" t="s">
        <v>1</v>
      </c>
      <c r="K56" s="18">
        <v>55</v>
      </c>
      <c r="L56" s="18">
        <v>0.25</v>
      </c>
      <c r="M56" s="18">
        <v>21.279910000000001</v>
      </c>
      <c r="N56" s="18" t="s">
        <v>255</v>
      </c>
      <c r="O56" s="18">
        <v>118481212</v>
      </c>
      <c r="Y56" s="5">
        <v>15</v>
      </c>
      <c r="Z56" s="5" t="s">
        <v>40</v>
      </c>
      <c r="AA56" s="5">
        <v>28</v>
      </c>
      <c r="AB56" s="5">
        <v>0.25</v>
      </c>
      <c r="AC56" s="5">
        <v>-253.6799</v>
      </c>
      <c r="AD56" s="5" t="s">
        <v>91</v>
      </c>
      <c r="AE56" s="5">
        <v>-2094704930</v>
      </c>
      <c r="BM56">
        <v>17</v>
      </c>
      <c r="BN56" t="s">
        <v>1</v>
      </c>
      <c r="BO56">
        <v>53</v>
      </c>
      <c r="BP56" t="s">
        <v>307</v>
      </c>
      <c r="BQ56" s="37">
        <v>2893994</v>
      </c>
      <c r="BR56" t="s">
        <v>369</v>
      </c>
      <c r="BS56">
        <v>39131787</v>
      </c>
    </row>
    <row r="57" spans="1:71" x14ac:dyDescent="0.3">
      <c r="A57" s="19">
        <v>25</v>
      </c>
      <c r="B57" s="19" t="s">
        <v>1</v>
      </c>
      <c r="C57" s="19">
        <v>100</v>
      </c>
      <c r="D57" s="19">
        <v>0.25</v>
      </c>
      <c r="E57" s="19">
        <v>40.340000000000003</v>
      </c>
      <c r="F57" s="19" t="s">
        <v>221</v>
      </c>
      <c r="G57" s="19">
        <v>334</v>
      </c>
      <c r="I57" s="18">
        <v>43</v>
      </c>
      <c r="J57" s="18" t="s">
        <v>40</v>
      </c>
      <c r="K57" s="18">
        <v>55</v>
      </c>
      <c r="L57" s="18">
        <v>0.25</v>
      </c>
      <c r="M57" s="18">
        <v>22.29993</v>
      </c>
      <c r="N57" s="18" t="s">
        <v>255</v>
      </c>
      <c r="O57" s="18">
        <v>70715436</v>
      </c>
      <c r="Y57" s="5">
        <v>15</v>
      </c>
      <c r="Z57" s="5" t="s">
        <v>1</v>
      </c>
      <c r="AA57" s="5">
        <v>63</v>
      </c>
      <c r="AB57" s="5">
        <v>0.25</v>
      </c>
      <c r="AC57" s="5">
        <v>39.199950000000001</v>
      </c>
      <c r="AD57" s="5" t="s">
        <v>92</v>
      </c>
      <c r="AE57" s="5">
        <v>879201781</v>
      </c>
      <c r="BM57">
        <v>18</v>
      </c>
      <c r="BN57" t="s">
        <v>40</v>
      </c>
      <c r="BO57">
        <v>25</v>
      </c>
      <c r="BP57" t="s">
        <v>307</v>
      </c>
      <c r="BQ57" s="37">
        <v>2402002</v>
      </c>
      <c r="BR57" t="s">
        <v>370</v>
      </c>
      <c r="BS57">
        <v>26234136</v>
      </c>
    </row>
    <row r="58" spans="1:71" x14ac:dyDescent="0.3">
      <c r="A58" s="19">
        <v>26</v>
      </c>
      <c r="B58" s="19" t="s">
        <v>40</v>
      </c>
      <c r="C58" s="19">
        <v>55</v>
      </c>
      <c r="D58" s="19">
        <v>0.25</v>
      </c>
      <c r="E58" s="19">
        <v>18.72</v>
      </c>
      <c r="F58" s="19" t="s">
        <v>222</v>
      </c>
      <c r="G58" s="19">
        <v>48731429</v>
      </c>
      <c r="I58" s="18">
        <v>43</v>
      </c>
      <c r="J58" s="18" t="s">
        <v>1</v>
      </c>
      <c r="K58" s="18">
        <v>47</v>
      </c>
      <c r="L58" s="18">
        <v>0.25</v>
      </c>
      <c r="M58" s="18">
        <v>15.679930000000001</v>
      </c>
      <c r="N58" s="18" t="s">
        <v>256</v>
      </c>
      <c r="O58" s="18">
        <v>186945846</v>
      </c>
      <c r="Y58" s="5">
        <v>16</v>
      </c>
      <c r="Z58" s="5" t="s">
        <v>1</v>
      </c>
      <c r="AA58" s="5">
        <v>55</v>
      </c>
      <c r="AB58" s="5">
        <v>0.25</v>
      </c>
      <c r="AC58" s="5">
        <v>27.599979999999999</v>
      </c>
      <c r="AD58" s="5" t="s">
        <v>93</v>
      </c>
      <c r="AE58" s="5">
        <v>1174271504</v>
      </c>
      <c r="BM58">
        <v>18</v>
      </c>
      <c r="BN58" t="s">
        <v>40</v>
      </c>
      <c r="BO58">
        <v>13</v>
      </c>
      <c r="BP58" t="s">
        <v>307</v>
      </c>
      <c r="BQ58" s="37">
        <v>1009998</v>
      </c>
      <c r="BR58" t="s">
        <v>371</v>
      </c>
      <c r="BS58">
        <v>64452739</v>
      </c>
    </row>
    <row r="59" spans="1:71" x14ac:dyDescent="0.3">
      <c r="A59" s="19">
        <v>26</v>
      </c>
      <c r="B59" s="19" t="s">
        <v>40</v>
      </c>
      <c r="C59" s="19">
        <v>123</v>
      </c>
      <c r="D59" s="19">
        <v>0.25</v>
      </c>
      <c r="E59" s="19">
        <v>73.919979999999995</v>
      </c>
      <c r="F59" s="19" t="s">
        <v>223</v>
      </c>
      <c r="G59" s="19">
        <v>105120440</v>
      </c>
      <c r="I59" s="18">
        <v>44</v>
      </c>
      <c r="J59" s="18" t="s">
        <v>1</v>
      </c>
      <c r="K59" s="18">
        <v>56</v>
      </c>
      <c r="L59" s="18">
        <v>0.25</v>
      </c>
      <c r="M59" s="18">
        <v>18.239989999999999</v>
      </c>
      <c r="N59" s="18" t="s">
        <v>257</v>
      </c>
      <c r="O59" s="18">
        <v>191094030</v>
      </c>
      <c r="Y59" s="5">
        <v>17</v>
      </c>
      <c r="Z59" s="5" t="s">
        <v>40</v>
      </c>
      <c r="AA59" s="5">
        <v>18</v>
      </c>
      <c r="AB59" s="5">
        <v>0.25</v>
      </c>
      <c r="AC59" s="5">
        <v>-2.2999269999999998</v>
      </c>
      <c r="AD59" s="5" t="s">
        <v>94</v>
      </c>
      <c r="AE59" s="5">
        <v>749520016</v>
      </c>
      <c r="BM59">
        <v>18</v>
      </c>
      <c r="BN59" t="s">
        <v>40</v>
      </c>
      <c r="BO59">
        <v>27</v>
      </c>
      <c r="BP59" t="s">
        <v>307</v>
      </c>
      <c r="BQ59" s="37">
        <v>2823999</v>
      </c>
      <c r="BR59" t="s">
        <v>372</v>
      </c>
      <c r="BS59">
        <v>70936738</v>
      </c>
    </row>
    <row r="60" spans="1:71" x14ac:dyDescent="0.3">
      <c r="A60" s="19">
        <v>26</v>
      </c>
      <c r="B60" s="19" t="s">
        <v>1</v>
      </c>
      <c r="C60" s="19">
        <v>142</v>
      </c>
      <c r="D60" s="19">
        <v>0.25</v>
      </c>
      <c r="E60" s="19">
        <v>47.57996</v>
      </c>
      <c r="F60" s="19" t="s">
        <v>224</v>
      </c>
      <c r="G60" s="19">
        <v>515</v>
      </c>
      <c r="I60" s="18">
        <v>45</v>
      </c>
      <c r="J60" s="18" t="s">
        <v>1</v>
      </c>
      <c r="K60" s="18">
        <v>35</v>
      </c>
      <c r="L60" s="18">
        <v>0.25</v>
      </c>
      <c r="M60" s="18">
        <v>12.300050000000001</v>
      </c>
      <c r="N60" s="18" t="s">
        <v>258</v>
      </c>
      <c r="O60" s="18">
        <v>3964979</v>
      </c>
      <c r="Y60" s="5">
        <v>17</v>
      </c>
      <c r="Z60" s="5" t="s">
        <v>1</v>
      </c>
      <c r="AA60" s="5">
        <v>57</v>
      </c>
      <c r="AB60" s="5">
        <v>0.25</v>
      </c>
      <c r="AC60" s="5">
        <v>32.440060000000003</v>
      </c>
      <c r="AD60" s="5" t="s">
        <v>95</v>
      </c>
      <c r="AE60" s="5">
        <v>996667286</v>
      </c>
      <c r="BM60">
        <v>18</v>
      </c>
      <c r="BN60" t="s">
        <v>40</v>
      </c>
      <c r="BO60">
        <v>13</v>
      </c>
      <c r="BP60" t="s">
        <v>307</v>
      </c>
      <c r="BQ60" s="37">
        <v>1293994</v>
      </c>
      <c r="BR60" t="s">
        <v>373</v>
      </c>
      <c r="BS60">
        <v>17271684</v>
      </c>
    </row>
    <row r="61" spans="1:71" x14ac:dyDescent="0.3">
      <c r="A61" s="19">
        <v>27</v>
      </c>
      <c r="B61" s="19" t="s">
        <v>1</v>
      </c>
      <c r="C61" s="19">
        <v>81</v>
      </c>
      <c r="D61" s="19">
        <v>0.25</v>
      </c>
      <c r="E61" s="19">
        <v>45.5</v>
      </c>
      <c r="F61" s="19" t="s">
        <v>225</v>
      </c>
      <c r="G61" s="19">
        <v>192760314</v>
      </c>
      <c r="Y61" s="5">
        <v>18</v>
      </c>
      <c r="Z61" s="5" t="s">
        <v>40</v>
      </c>
      <c r="AA61" s="5">
        <v>12</v>
      </c>
      <c r="AB61" s="5">
        <v>0.25</v>
      </c>
      <c r="AC61" s="5">
        <v>-3.4799799999999999</v>
      </c>
      <c r="AD61" s="5" t="s">
        <v>96</v>
      </c>
      <c r="AE61" s="5">
        <v>26518192</v>
      </c>
      <c r="BM61">
        <v>18</v>
      </c>
      <c r="BN61" t="s">
        <v>40</v>
      </c>
      <c r="BO61">
        <v>25</v>
      </c>
      <c r="BP61" t="s">
        <v>307</v>
      </c>
      <c r="BQ61" s="37">
        <v>1393994</v>
      </c>
      <c r="BR61" t="s">
        <v>374</v>
      </c>
      <c r="BS61">
        <v>19302145</v>
      </c>
    </row>
    <row r="62" spans="1:71" x14ac:dyDescent="0.3">
      <c r="A62" s="19">
        <v>28</v>
      </c>
      <c r="B62" s="19" t="s">
        <v>40</v>
      </c>
      <c r="C62" s="19">
        <v>74</v>
      </c>
      <c r="D62" s="19">
        <v>0.25</v>
      </c>
      <c r="E62" s="19">
        <v>26.66</v>
      </c>
      <c r="F62" s="19" t="s">
        <v>226</v>
      </c>
      <c r="G62" s="19">
        <v>251791640</v>
      </c>
      <c r="Y62" s="5">
        <v>18</v>
      </c>
      <c r="Z62" s="5" t="s">
        <v>40</v>
      </c>
      <c r="AA62" s="5">
        <v>15</v>
      </c>
      <c r="AB62" s="5">
        <v>0.25</v>
      </c>
      <c r="AC62" s="5">
        <v>-15.64001</v>
      </c>
      <c r="AD62" s="5" t="s">
        <v>97</v>
      </c>
      <c r="AE62" s="5">
        <v>-44411362</v>
      </c>
      <c r="BM62">
        <v>18</v>
      </c>
      <c r="BN62" t="s">
        <v>40</v>
      </c>
      <c r="BO62">
        <v>34</v>
      </c>
      <c r="BP62" t="s">
        <v>307</v>
      </c>
      <c r="BQ62" s="37">
        <v>3119995</v>
      </c>
      <c r="BR62" t="s">
        <v>375</v>
      </c>
      <c r="BS62">
        <v>64696826</v>
      </c>
    </row>
    <row r="63" spans="1:71" x14ac:dyDescent="0.3">
      <c r="A63" s="19">
        <v>29</v>
      </c>
      <c r="B63" s="19" t="s">
        <v>1</v>
      </c>
      <c r="C63" s="19">
        <v>110</v>
      </c>
      <c r="D63" s="19">
        <v>0.25</v>
      </c>
      <c r="E63" s="19">
        <v>60.620010000000001</v>
      </c>
      <c r="F63" s="19" t="s">
        <v>227</v>
      </c>
      <c r="G63" s="19">
        <v>364</v>
      </c>
      <c r="Y63" s="5">
        <v>18</v>
      </c>
      <c r="Z63" s="5" t="s">
        <v>40</v>
      </c>
      <c r="AA63" s="5">
        <v>16</v>
      </c>
      <c r="AB63" s="5">
        <v>0.25</v>
      </c>
      <c r="AC63" s="5">
        <v>-23.959959999999999</v>
      </c>
      <c r="AD63" s="5" t="s">
        <v>98</v>
      </c>
      <c r="AE63" s="5">
        <v>-1370595944</v>
      </c>
      <c r="BM63">
        <v>18</v>
      </c>
      <c r="BN63" t="s">
        <v>1</v>
      </c>
      <c r="BO63">
        <v>40</v>
      </c>
      <c r="BP63" t="s">
        <v>307</v>
      </c>
      <c r="BQ63" s="37">
        <v>1473999</v>
      </c>
      <c r="BR63" t="s">
        <v>100</v>
      </c>
      <c r="BS63">
        <v>176678623</v>
      </c>
    </row>
    <row r="64" spans="1:71" x14ac:dyDescent="0.3">
      <c r="A64" s="19">
        <v>30</v>
      </c>
      <c r="B64" s="19" t="s">
        <v>1</v>
      </c>
      <c r="C64" s="19">
        <v>40</v>
      </c>
      <c r="D64" s="19">
        <v>0.25</v>
      </c>
      <c r="E64" s="19">
        <v>12.42001</v>
      </c>
      <c r="F64" s="19" t="s">
        <v>100</v>
      </c>
      <c r="G64" s="19">
        <v>80145785</v>
      </c>
      <c r="Y64" s="5">
        <v>18</v>
      </c>
      <c r="Z64" s="5" t="s">
        <v>40</v>
      </c>
      <c r="AA64" s="5">
        <v>34</v>
      </c>
      <c r="AB64" s="5">
        <v>0.25</v>
      </c>
      <c r="AC64" s="5">
        <v>-39.979979999999998</v>
      </c>
      <c r="AD64" s="5" t="s">
        <v>99</v>
      </c>
      <c r="AE64" s="5">
        <v>-764060758</v>
      </c>
      <c r="BM64">
        <v>19</v>
      </c>
      <c r="BN64" t="s">
        <v>40</v>
      </c>
      <c r="BO64">
        <v>19</v>
      </c>
      <c r="BP64" t="s">
        <v>307</v>
      </c>
      <c r="BQ64" s="37">
        <v>1397998</v>
      </c>
      <c r="BR64" t="s">
        <v>376</v>
      </c>
      <c r="BS64">
        <v>65222563</v>
      </c>
    </row>
    <row r="65" spans="1:71" x14ac:dyDescent="0.3">
      <c r="A65" s="19">
        <v>37</v>
      </c>
      <c r="B65" s="19" t="s">
        <v>1</v>
      </c>
      <c r="C65" s="19">
        <v>44</v>
      </c>
      <c r="D65" s="19">
        <v>0.25</v>
      </c>
      <c r="E65" s="19">
        <v>16.739989999999999</v>
      </c>
      <c r="F65" s="19" t="s">
        <v>228</v>
      </c>
      <c r="G65" s="19">
        <v>36572713</v>
      </c>
      <c r="Y65" s="5">
        <v>18</v>
      </c>
      <c r="Z65" s="5" t="s">
        <v>1</v>
      </c>
      <c r="AA65" s="5">
        <v>40</v>
      </c>
      <c r="AB65" s="5">
        <v>0.25</v>
      </c>
      <c r="AC65" s="5">
        <v>39.820070000000001</v>
      </c>
      <c r="AD65" s="5" t="s">
        <v>100</v>
      </c>
      <c r="AE65" s="5">
        <v>1132470763</v>
      </c>
      <c r="BM65">
        <v>19</v>
      </c>
      <c r="BN65" t="s">
        <v>40</v>
      </c>
      <c r="BO65">
        <v>15</v>
      </c>
      <c r="BP65" t="s">
        <v>307</v>
      </c>
      <c r="BQ65" s="37">
        <v>1242004</v>
      </c>
      <c r="BR65" t="s">
        <v>377</v>
      </c>
      <c r="BS65">
        <v>52189315</v>
      </c>
    </row>
    <row r="66" spans="1:71" x14ac:dyDescent="0.3">
      <c r="A66" s="19">
        <v>38</v>
      </c>
      <c r="B66" s="19" t="s">
        <v>40</v>
      </c>
      <c r="C66" s="19">
        <v>45</v>
      </c>
      <c r="D66" s="19">
        <v>0.25</v>
      </c>
      <c r="E66" s="19">
        <v>34.780029999999996</v>
      </c>
      <c r="F66" s="19" t="s">
        <v>229</v>
      </c>
      <c r="G66" s="19">
        <v>113766609</v>
      </c>
      <c r="Y66" s="5">
        <v>19</v>
      </c>
      <c r="Z66" s="5" t="s">
        <v>40</v>
      </c>
      <c r="AA66" s="5">
        <v>15</v>
      </c>
      <c r="AB66" s="5">
        <v>0.25</v>
      </c>
      <c r="AC66" s="5">
        <v>-300.59989999999999</v>
      </c>
      <c r="AD66" s="5" t="s">
        <v>101</v>
      </c>
      <c r="AE66" s="5">
        <v>533200378</v>
      </c>
      <c r="BM66">
        <v>19</v>
      </c>
      <c r="BN66" t="s">
        <v>40</v>
      </c>
      <c r="BO66">
        <v>16</v>
      </c>
      <c r="BP66" t="s">
        <v>307</v>
      </c>
      <c r="BQ66" s="37">
        <v>1590002</v>
      </c>
      <c r="BR66" t="s">
        <v>378</v>
      </c>
      <c r="BS66">
        <v>12396028</v>
      </c>
    </row>
    <row r="67" spans="1:71" x14ac:dyDescent="0.3">
      <c r="A67" s="19">
        <v>38</v>
      </c>
      <c r="B67" s="19" t="s">
        <v>40</v>
      </c>
      <c r="C67" s="19">
        <v>83</v>
      </c>
      <c r="D67" s="19">
        <v>0.25</v>
      </c>
      <c r="E67" s="19">
        <v>45.140009999999997</v>
      </c>
      <c r="F67" s="19" t="s">
        <v>230</v>
      </c>
      <c r="G67" s="19">
        <v>253981079</v>
      </c>
      <c r="Y67" s="5">
        <v>19</v>
      </c>
      <c r="Z67" s="5" t="s">
        <v>40</v>
      </c>
      <c r="AA67" s="5">
        <v>1024</v>
      </c>
      <c r="AB67" s="5">
        <v>0.25</v>
      </c>
      <c r="AC67" s="5">
        <v>-327.27999999999997</v>
      </c>
      <c r="AD67" s="5" t="s">
        <v>102</v>
      </c>
      <c r="AE67" s="5">
        <v>1940799319</v>
      </c>
      <c r="BM67">
        <v>19</v>
      </c>
      <c r="BN67" t="s">
        <v>40</v>
      </c>
      <c r="BO67">
        <v>17</v>
      </c>
      <c r="BP67" t="s">
        <v>307</v>
      </c>
      <c r="BQ67" s="37">
        <v>1026001</v>
      </c>
      <c r="BR67" t="s">
        <v>379</v>
      </c>
      <c r="BS67">
        <v>70309238</v>
      </c>
    </row>
    <row r="68" spans="1:71" x14ac:dyDescent="0.3">
      <c r="A68" s="19">
        <v>60</v>
      </c>
      <c r="B68" s="19" t="s">
        <v>1</v>
      </c>
      <c r="C68" s="19">
        <v>47</v>
      </c>
      <c r="D68" s="19">
        <v>0.25</v>
      </c>
      <c r="E68" s="19">
        <v>15.94</v>
      </c>
      <c r="F68" s="19" t="s">
        <v>231</v>
      </c>
      <c r="G68" s="19">
        <v>6809825</v>
      </c>
      <c r="Y68" s="5">
        <v>19</v>
      </c>
      <c r="Z68" s="5" t="s">
        <v>40</v>
      </c>
      <c r="AA68" s="5">
        <v>47</v>
      </c>
      <c r="AB68" s="5">
        <v>0.25</v>
      </c>
      <c r="AC68" s="5">
        <v>-748.2</v>
      </c>
      <c r="AD68" s="5" t="s">
        <v>103</v>
      </c>
      <c r="AE68" s="5">
        <v>-73493255</v>
      </c>
      <c r="BM68">
        <v>19</v>
      </c>
      <c r="BN68" t="s">
        <v>40</v>
      </c>
      <c r="BO68">
        <v>22</v>
      </c>
      <c r="BP68" t="s">
        <v>307</v>
      </c>
      <c r="BQ68" s="37">
        <v>1956006</v>
      </c>
      <c r="BR68" t="s">
        <v>380</v>
      </c>
      <c r="BS68">
        <v>23108943</v>
      </c>
    </row>
    <row r="69" spans="1:71" x14ac:dyDescent="0.3">
      <c r="A69" s="19">
        <v>61</v>
      </c>
      <c r="B69" s="19" t="s">
        <v>40</v>
      </c>
      <c r="C69" s="19">
        <v>14</v>
      </c>
      <c r="D69" s="19">
        <v>0.25</v>
      </c>
      <c r="E69" s="19">
        <v>5.4600030000000004</v>
      </c>
      <c r="F69" s="19" t="s">
        <v>232</v>
      </c>
      <c r="G69" s="19">
        <v>33354717</v>
      </c>
      <c r="Y69" s="5">
        <v>19</v>
      </c>
      <c r="Z69" s="5" t="s">
        <v>1</v>
      </c>
      <c r="AA69" s="5">
        <v>54</v>
      </c>
      <c r="AB69" s="5">
        <v>0.25</v>
      </c>
      <c r="AC69" s="5">
        <v>33.06006</v>
      </c>
      <c r="AD69" s="5" t="s">
        <v>104</v>
      </c>
      <c r="AE69" s="5">
        <v>609267190</v>
      </c>
      <c r="BM69">
        <v>19</v>
      </c>
      <c r="BN69" t="s">
        <v>40</v>
      </c>
      <c r="BO69">
        <v>45</v>
      </c>
      <c r="BP69" t="s">
        <v>307</v>
      </c>
      <c r="BQ69" s="37">
        <v>4602002</v>
      </c>
      <c r="BR69" t="s">
        <v>381</v>
      </c>
      <c r="BS69">
        <v>81757636</v>
      </c>
    </row>
    <row r="70" spans="1:71" x14ac:dyDescent="0.3">
      <c r="A70" s="19">
        <v>61</v>
      </c>
      <c r="B70" s="19" t="s">
        <v>1</v>
      </c>
      <c r="C70" s="19">
        <v>83</v>
      </c>
      <c r="D70" s="19">
        <v>0.25</v>
      </c>
      <c r="E70" s="19">
        <v>26.64</v>
      </c>
      <c r="F70" s="19" t="s">
        <v>233</v>
      </c>
      <c r="G70" s="19">
        <v>66000338</v>
      </c>
      <c r="Y70" s="5">
        <v>20</v>
      </c>
      <c r="Z70" s="5" t="s">
        <v>1</v>
      </c>
      <c r="AA70" s="5">
        <v>70</v>
      </c>
      <c r="AB70" s="5">
        <v>0.25</v>
      </c>
      <c r="AC70" s="5">
        <v>35.139890000000001</v>
      </c>
      <c r="AD70" s="5" t="s">
        <v>105</v>
      </c>
      <c r="AE70" s="5">
        <v>-477393018</v>
      </c>
      <c r="BM70">
        <v>19</v>
      </c>
      <c r="BN70" t="s">
        <v>40</v>
      </c>
      <c r="BO70">
        <v>63</v>
      </c>
      <c r="BP70" t="s">
        <v>307</v>
      </c>
      <c r="BQ70" s="37">
        <v>3040015</v>
      </c>
      <c r="BR70" t="s">
        <v>382</v>
      </c>
      <c r="BS70">
        <v>237</v>
      </c>
    </row>
    <row r="71" spans="1:71" x14ac:dyDescent="0.3">
      <c r="A71" s="19">
        <v>62</v>
      </c>
      <c r="B71" s="19" t="s">
        <v>1</v>
      </c>
      <c r="C71" s="19">
        <v>73</v>
      </c>
      <c r="D71" s="19">
        <v>0.25</v>
      </c>
      <c r="E71" s="19">
        <v>30.74</v>
      </c>
      <c r="F71" s="19" t="s">
        <v>234</v>
      </c>
      <c r="G71" s="19">
        <v>6648283</v>
      </c>
      <c r="Y71" s="5">
        <v>21</v>
      </c>
      <c r="Z71" s="5" t="s">
        <v>40</v>
      </c>
      <c r="AA71" s="5">
        <v>29</v>
      </c>
      <c r="AB71" s="5">
        <v>0.25</v>
      </c>
      <c r="AC71" s="5">
        <v>-1.5</v>
      </c>
      <c r="AD71" s="5" t="s">
        <v>106</v>
      </c>
      <c r="AE71" s="5">
        <v>-583148932</v>
      </c>
      <c r="BM71">
        <v>20</v>
      </c>
      <c r="BN71" t="s">
        <v>40</v>
      </c>
      <c r="BO71">
        <v>55</v>
      </c>
      <c r="BP71" t="s">
        <v>307</v>
      </c>
      <c r="BQ71" s="37">
        <v>3559985</v>
      </c>
      <c r="BR71" t="s">
        <v>383</v>
      </c>
      <c r="BS71">
        <v>144600247</v>
      </c>
    </row>
    <row r="72" spans="1:71" x14ac:dyDescent="0.3">
      <c r="A72" s="19">
        <v>63</v>
      </c>
      <c r="B72" s="19" t="s">
        <v>1</v>
      </c>
      <c r="C72" s="19">
        <v>84</v>
      </c>
      <c r="D72" s="19">
        <v>0.25</v>
      </c>
      <c r="E72" s="19">
        <v>27.62</v>
      </c>
      <c r="F72" s="19" t="s">
        <v>235</v>
      </c>
      <c r="G72" s="19">
        <v>135219507</v>
      </c>
      <c r="Y72" s="5">
        <v>21</v>
      </c>
      <c r="Z72" s="5" t="s">
        <v>40</v>
      </c>
      <c r="AA72" s="5">
        <v>11</v>
      </c>
      <c r="AB72" s="5">
        <v>0.25</v>
      </c>
      <c r="AC72" s="5">
        <v>-33.760010000000001</v>
      </c>
      <c r="AD72" s="5" t="s">
        <v>107</v>
      </c>
      <c r="AE72" s="5">
        <v>659029828</v>
      </c>
      <c r="BM72">
        <v>20</v>
      </c>
      <c r="BN72" t="s">
        <v>40</v>
      </c>
      <c r="BO72">
        <v>9</v>
      </c>
      <c r="BP72" t="s">
        <v>307</v>
      </c>
      <c r="BQ72" s="37">
        <v>7219971</v>
      </c>
      <c r="BR72" t="s">
        <v>384</v>
      </c>
      <c r="BS72">
        <v>105094199</v>
      </c>
    </row>
    <row r="73" spans="1:71" x14ac:dyDescent="0.3">
      <c r="A73" s="19">
        <v>64</v>
      </c>
      <c r="B73" s="19" t="s">
        <v>1</v>
      </c>
      <c r="C73" s="19">
        <v>80</v>
      </c>
      <c r="D73" s="19">
        <v>0.25</v>
      </c>
      <c r="E73" s="19">
        <v>41.099989999999998</v>
      </c>
      <c r="F73" s="19" t="s">
        <v>236</v>
      </c>
      <c r="G73" s="19">
        <v>110720354</v>
      </c>
      <c r="Y73" s="5">
        <v>21</v>
      </c>
      <c r="Z73" s="5" t="s">
        <v>40</v>
      </c>
      <c r="AA73" s="5">
        <v>32</v>
      </c>
      <c r="AB73" s="5">
        <v>0.25</v>
      </c>
      <c r="AC73" s="5">
        <v>-69.219970000000004</v>
      </c>
      <c r="AD73" s="5" t="s">
        <v>108</v>
      </c>
      <c r="AE73" s="5">
        <v>-1699429542</v>
      </c>
      <c r="BM73">
        <v>20</v>
      </c>
      <c r="BN73" t="s">
        <v>40</v>
      </c>
      <c r="BO73">
        <v>11</v>
      </c>
      <c r="BP73" t="s">
        <v>307</v>
      </c>
      <c r="BQ73" s="37">
        <v>576001</v>
      </c>
      <c r="BR73" t="s">
        <v>385</v>
      </c>
      <c r="BS73">
        <v>72217698</v>
      </c>
    </row>
    <row r="74" spans="1:71" x14ac:dyDescent="0.3">
      <c r="A74" s="19">
        <v>65</v>
      </c>
      <c r="B74" s="19" t="s">
        <v>1</v>
      </c>
      <c r="C74" s="19">
        <v>34</v>
      </c>
      <c r="D74" s="19">
        <v>0.25</v>
      </c>
      <c r="E74" s="19">
        <v>11.319990000000001</v>
      </c>
      <c r="F74" s="19" t="s">
        <v>237</v>
      </c>
      <c r="G74" s="19">
        <v>57680209</v>
      </c>
      <c r="Y74" s="5">
        <v>21</v>
      </c>
      <c r="Z74" s="5" t="s">
        <v>1</v>
      </c>
      <c r="AA74" s="5">
        <v>56</v>
      </c>
      <c r="AB74" s="5">
        <v>0.25</v>
      </c>
      <c r="AC74" s="5">
        <v>22.260010000000001</v>
      </c>
      <c r="AD74" s="5" t="s">
        <v>109</v>
      </c>
      <c r="AE74" s="5">
        <v>704291232</v>
      </c>
      <c r="BM74">
        <v>20</v>
      </c>
      <c r="BN74" t="s">
        <v>40</v>
      </c>
      <c r="BO74">
        <v>11</v>
      </c>
      <c r="BP74" t="s">
        <v>307</v>
      </c>
      <c r="BQ74" s="37">
        <v>4940186</v>
      </c>
      <c r="BR74" t="s">
        <v>386</v>
      </c>
      <c r="BS74">
        <v>93632035</v>
      </c>
    </row>
    <row r="75" spans="1:71" x14ac:dyDescent="0.3">
      <c r="A75" s="19">
        <v>30</v>
      </c>
      <c r="B75" s="19" t="s">
        <v>1</v>
      </c>
      <c r="C75" s="19">
        <v>40</v>
      </c>
      <c r="D75" s="19">
        <v>0.25</v>
      </c>
      <c r="E75" s="19">
        <v>12.28</v>
      </c>
      <c r="F75" s="19" t="s">
        <v>100</v>
      </c>
      <c r="G75" s="19">
        <v>42240188</v>
      </c>
      <c r="Y75" s="5">
        <v>22</v>
      </c>
      <c r="Z75" s="5" t="s">
        <v>40</v>
      </c>
      <c r="AA75" s="5">
        <v>98</v>
      </c>
      <c r="AB75" s="5">
        <v>0.25</v>
      </c>
      <c r="AC75" s="5">
        <v>-34.619869999999999</v>
      </c>
      <c r="AD75" s="5" t="s">
        <v>110</v>
      </c>
      <c r="AE75" s="5">
        <v>1409148540</v>
      </c>
      <c r="BM75">
        <v>20</v>
      </c>
      <c r="BN75" t="s">
        <v>40</v>
      </c>
      <c r="BO75">
        <v>54</v>
      </c>
      <c r="BP75" t="s">
        <v>307</v>
      </c>
      <c r="BQ75" s="37">
        <v>5747998</v>
      </c>
      <c r="BR75" t="s">
        <v>387</v>
      </c>
      <c r="BS75">
        <v>150400241</v>
      </c>
    </row>
    <row r="76" spans="1:71" x14ac:dyDescent="0.3">
      <c r="A76" s="19">
        <v>31</v>
      </c>
      <c r="B76" s="19" t="s">
        <v>40</v>
      </c>
      <c r="C76" s="19">
        <v>14</v>
      </c>
      <c r="D76" s="19">
        <v>0.25</v>
      </c>
      <c r="E76" s="19">
        <v>5.4600030000000004</v>
      </c>
      <c r="F76" s="19" t="s">
        <v>259</v>
      </c>
      <c r="G76" s="19">
        <v>82991024</v>
      </c>
      <c r="Y76" s="5">
        <v>22</v>
      </c>
      <c r="Z76" s="5" t="s">
        <v>1</v>
      </c>
      <c r="AA76" s="5">
        <v>132</v>
      </c>
      <c r="AB76" s="5">
        <v>0.25</v>
      </c>
      <c r="AC76" s="5">
        <v>102.78</v>
      </c>
      <c r="AD76" s="5" t="s">
        <v>111</v>
      </c>
      <c r="AE76" s="5">
        <v>-787119312</v>
      </c>
      <c r="BM76">
        <v>20</v>
      </c>
      <c r="BN76" t="s">
        <v>1</v>
      </c>
      <c r="BO76">
        <v>56</v>
      </c>
      <c r="BP76" t="s">
        <v>307</v>
      </c>
      <c r="BQ76" s="37">
        <v>326001</v>
      </c>
      <c r="BR76" t="s">
        <v>388</v>
      </c>
      <c r="BS76">
        <v>148727277</v>
      </c>
    </row>
    <row r="77" spans="1:71" x14ac:dyDescent="0.3">
      <c r="A77" s="19">
        <v>31</v>
      </c>
      <c r="B77" s="19" t="s">
        <v>1</v>
      </c>
      <c r="C77" s="19">
        <v>34</v>
      </c>
      <c r="D77" s="19">
        <v>0.25</v>
      </c>
      <c r="E77" s="19">
        <v>14.18</v>
      </c>
      <c r="F77" s="19" t="s">
        <v>238</v>
      </c>
      <c r="G77" s="19">
        <v>55114161</v>
      </c>
      <c r="Y77" s="5">
        <v>23</v>
      </c>
      <c r="Z77" s="5" t="s">
        <v>40</v>
      </c>
      <c r="AA77" s="5">
        <v>19</v>
      </c>
      <c r="AB77" s="5">
        <v>0.25</v>
      </c>
      <c r="AC77" s="5">
        <v>-1.7600100000000001</v>
      </c>
      <c r="AD77" s="5" t="s">
        <v>112</v>
      </c>
      <c r="AE77" s="5">
        <v>-1281795621</v>
      </c>
      <c r="BM77">
        <v>21</v>
      </c>
      <c r="BN77" t="s">
        <v>40</v>
      </c>
      <c r="BO77">
        <v>7</v>
      </c>
      <c r="BP77" t="s">
        <v>307</v>
      </c>
      <c r="BQ77" s="37">
        <v>5420166</v>
      </c>
      <c r="BR77" t="s">
        <v>389</v>
      </c>
      <c r="BS77">
        <v>62418823</v>
      </c>
    </row>
    <row r="78" spans="1:71" x14ac:dyDescent="0.3">
      <c r="A78" s="19">
        <v>32</v>
      </c>
      <c r="B78" s="19" t="s">
        <v>1</v>
      </c>
      <c r="C78" s="19">
        <v>32</v>
      </c>
      <c r="D78" s="19">
        <v>0.25</v>
      </c>
      <c r="E78" s="19">
        <v>10.220000000000001</v>
      </c>
      <c r="F78" s="19" t="s">
        <v>24</v>
      </c>
      <c r="G78" s="19">
        <v>49030565</v>
      </c>
      <c r="Y78" s="5">
        <v>23</v>
      </c>
      <c r="Z78" s="5" t="s">
        <v>40</v>
      </c>
      <c r="AA78" s="5">
        <v>7</v>
      </c>
      <c r="AB78" s="5">
        <v>0.25</v>
      </c>
      <c r="AC78" s="5">
        <v>-14.84009</v>
      </c>
      <c r="AD78" s="5" t="s">
        <v>113</v>
      </c>
      <c r="AE78" s="5">
        <v>-1193474428</v>
      </c>
      <c r="BM78">
        <v>21</v>
      </c>
      <c r="BN78" t="s">
        <v>1</v>
      </c>
      <c r="BO78">
        <v>53</v>
      </c>
      <c r="BP78" t="s">
        <v>307</v>
      </c>
      <c r="BQ78" s="37">
        <v>2481982</v>
      </c>
      <c r="BR78" t="s">
        <v>390</v>
      </c>
      <c r="BS78">
        <v>3900719</v>
      </c>
    </row>
    <row r="79" spans="1:71" x14ac:dyDescent="0.3">
      <c r="A79" s="19">
        <v>70</v>
      </c>
      <c r="B79" s="19" t="s">
        <v>1</v>
      </c>
      <c r="C79" s="19">
        <v>60</v>
      </c>
      <c r="D79" s="19">
        <v>0.25</v>
      </c>
      <c r="E79" s="19">
        <v>37.880000000000003</v>
      </c>
      <c r="F79" s="19" t="s">
        <v>162</v>
      </c>
      <c r="G79" s="19">
        <v>1774659124</v>
      </c>
      <c r="Y79" s="5">
        <v>23</v>
      </c>
      <c r="Z79" s="5" t="s">
        <v>40</v>
      </c>
      <c r="AA79" s="5">
        <v>16</v>
      </c>
      <c r="AB79" s="5">
        <v>0.25</v>
      </c>
      <c r="AC79" s="5">
        <v>-19.800049999999999</v>
      </c>
      <c r="AD79" s="5" t="s">
        <v>114</v>
      </c>
      <c r="AE79" s="5">
        <v>-1205796079</v>
      </c>
      <c r="BM79">
        <v>22</v>
      </c>
      <c r="BN79" t="s">
        <v>40</v>
      </c>
      <c r="BO79">
        <v>18</v>
      </c>
      <c r="BP79" t="s">
        <v>307</v>
      </c>
      <c r="BQ79" s="37">
        <v>1485986</v>
      </c>
      <c r="BR79" t="s">
        <v>391</v>
      </c>
      <c r="BS79">
        <v>102875710</v>
      </c>
    </row>
    <row r="80" spans="1:71" x14ac:dyDescent="0.3">
      <c r="A80" s="19">
        <v>71</v>
      </c>
      <c r="B80" s="19" t="s">
        <v>1</v>
      </c>
      <c r="C80" s="19">
        <v>61</v>
      </c>
      <c r="D80" s="19">
        <v>0.25</v>
      </c>
      <c r="E80" s="19">
        <v>31.64001</v>
      </c>
      <c r="F80" s="19" t="s">
        <v>163</v>
      </c>
      <c r="G80" s="19">
        <v>729240845</v>
      </c>
      <c r="Y80" s="5">
        <v>23</v>
      </c>
      <c r="Z80" s="5" t="s">
        <v>40</v>
      </c>
      <c r="AA80" s="5">
        <v>79</v>
      </c>
      <c r="AB80" s="5">
        <v>0.25</v>
      </c>
      <c r="AC80" s="5">
        <v>-30.600100000000001</v>
      </c>
      <c r="AD80" s="5" t="s">
        <v>115</v>
      </c>
      <c r="AE80" s="5">
        <v>-547634255</v>
      </c>
      <c r="BM80">
        <v>22</v>
      </c>
      <c r="BN80" t="s">
        <v>40</v>
      </c>
      <c r="BO80">
        <v>6</v>
      </c>
      <c r="BP80" t="s">
        <v>307</v>
      </c>
      <c r="BQ80" s="37">
        <v>3280029</v>
      </c>
      <c r="BR80" t="s">
        <v>392</v>
      </c>
      <c r="BS80">
        <v>31095581</v>
      </c>
    </row>
    <row r="81" spans="1:71" x14ac:dyDescent="0.3">
      <c r="A81" s="6">
        <v>1</v>
      </c>
      <c r="B81" s="6" t="s">
        <v>1</v>
      </c>
      <c r="C81" s="6">
        <v>11</v>
      </c>
      <c r="D81" s="6">
        <v>0.25</v>
      </c>
      <c r="E81" s="6">
        <v>4.08</v>
      </c>
      <c r="F81" s="6" t="s">
        <v>122</v>
      </c>
      <c r="G81" s="6">
        <v>499873048</v>
      </c>
      <c r="Y81" s="5">
        <v>23</v>
      </c>
      <c r="Z81" s="5" t="s">
        <v>40</v>
      </c>
      <c r="AA81" s="5">
        <v>7</v>
      </c>
      <c r="AB81" s="5">
        <v>0.25</v>
      </c>
      <c r="AC81" s="5">
        <v>-90.62012</v>
      </c>
      <c r="AD81" s="5" t="s">
        <v>116</v>
      </c>
      <c r="AE81" s="5">
        <v>2087565919</v>
      </c>
      <c r="BM81">
        <v>22</v>
      </c>
      <c r="BN81" t="s">
        <v>40</v>
      </c>
      <c r="BO81">
        <v>14</v>
      </c>
      <c r="BP81" t="s">
        <v>307</v>
      </c>
      <c r="BQ81" s="37">
        <v>1058008</v>
      </c>
      <c r="BR81" t="s">
        <v>393</v>
      </c>
      <c r="BS81">
        <v>90352209</v>
      </c>
    </row>
    <row r="82" spans="1:71" x14ac:dyDescent="0.3">
      <c r="A82" s="6">
        <v>1</v>
      </c>
      <c r="B82" s="6" t="s">
        <v>1</v>
      </c>
      <c r="C82" s="6">
        <v>11</v>
      </c>
      <c r="D82" s="6">
        <v>0.25</v>
      </c>
      <c r="E82" s="6">
        <v>4.0399989999999999</v>
      </c>
      <c r="F82" s="6" t="s">
        <v>122</v>
      </c>
      <c r="G82" s="6">
        <v>-1255043675</v>
      </c>
      <c r="Y82" s="5">
        <v>23</v>
      </c>
      <c r="Z82" s="5" t="s">
        <v>40</v>
      </c>
      <c r="AA82" s="5">
        <v>8</v>
      </c>
      <c r="AB82" s="5">
        <v>0.25</v>
      </c>
      <c r="AC82" s="5">
        <v>-98.260009999999994</v>
      </c>
      <c r="AD82" s="5" t="s">
        <v>117</v>
      </c>
      <c r="AE82" s="5">
        <v>-1573342205</v>
      </c>
      <c r="BM82">
        <v>22</v>
      </c>
      <c r="BN82" t="s">
        <v>40</v>
      </c>
      <c r="BO82">
        <v>15</v>
      </c>
      <c r="BP82" t="s">
        <v>307</v>
      </c>
      <c r="BQ82" s="37">
        <v>1041992</v>
      </c>
      <c r="BR82" t="s">
        <v>394</v>
      </c>
      <c r="BS82">
        <v>79399805</v>
      </c>
    </row>
    <row r="83" spans="1:71" x14ac:dyDescent="0.3">
      <c r="A83" s="6">
        <v>2</v>
      </c>
      <c r="B83" s="6" t="s">
        <v>1</v>
      </c>
      <c r="C83" s="6">
        <v>99</v>
      </c>
      <c r="D83" s="6">
        <v>0.25</v>
      </c>
      <c r="E83" s="6">
        <v>46.92</v>
      </c>
      <c r="F83" s="6" t="s">
        <v>123</v>
      </c>
      <c r="G83" s="6">
        <v>265536218</v>
      </c>
      <c r="Y83" s="5">
        <v>23</v>
      </c>
      <c r="Z83" s="5" t="s">
        <v>40</v>
      </c>
      <c r="AA83" s="5">
        <v>26</v>
      </c>
      <c r="AB83" s="5">
        <v>0.25</v>
      </c>
      <c r="AC83" s="5">
        <v>-102.2</v>
      </c>
      <c r="AD83" s="5" t="s">
        <v>118</v>
      </c>
      <c r="AE83" s="5">
        <v>-1637658922</v>
      </c>
      <c r="BM83">
        <v>22</v>
      </c>
      <c r="BN83" t="s">
        <v>40</v>
      </c>
      <c r="BO83">
        <v>14</v>
      </c>
      <c r="BP83" t="s">
        <v>307</v>
      </c>
      <c r="BQ83" s="37">
        <v>9940186</v>
      </c>
      <c r="BR83" t="s">
        <v>395</v>
      </c>
      <c r="BS83">
        <v>73078118</v>
      </c>
    </row>
    <row r="84" spans="1:71" x14ac:dyDescent="0.3">
      <c r="A84" s="6">
        <v>3</v>
      </c>
      <c r="B84" s="6" t="s">
        <v>1</v>
      </c>
      <c r="C84" s="6">
        <v>130</v>
      </c>
      <c r="D84" s="6">
        <v>0.25</v>
      </c>
      <c r="E84" s="6">
        <v>105.2</v>
      </c>
      <c r="F84" s="6" t="s">
        <v>124</v>
      </c>
      <c r="G84" s="6">
        <v>-389845527</v>
      </c>
      <c r="Y84" s="5">
        <v>3</v>
      </c>
      <c r="Z84" s="5" t="s">
        <v>1</v>
      </c>
      <c r="AA84" s="5">
        <v>124</v>
      </c>
      <c r="AB84" s="5">
        <v>0.1</v>
      </c>
      <c r="AC84" s="5">
        <v>178.91990000000001</v>
      </c>
      <c r="AD84" s="5" t="s">
        <v>121</v>
      </c>
      <c r="AE84" s="5">
        <v>-1209209755</v>
      </c>
      <c r="BM84">
        <v>22</v>
      </c>
      <c r="BN84" t="s">
        <v>40</v>
      </c>
      <c r="BO84">
        <v>13</v>
      </c>
      <c r="BP84" t="s">
        <v>307</v>
      </c>
      <c r="BQ84" s="37">
        <v>1228003</v>
      </c>
      <c r="BR84" t="s">
        <v>396</v>
      </c>
      <c r="BS84">
        <v>5681708</v>
      </c>
    </row>
    <row r="85" spans="1:71" x14ac:dyDescent="0.3">
      <c r="A85" s="6">
        <v>5</v>
      </c>
      <c r="B85" s="6" t="s">
        <v>1</v>
      </c>
      <c r="C85" s="6">
        <v>56</v>
      </c>
      <c r="D85" s="6">
        <v>0.25</v>
      </c>
      <c r="E85" s="6">
        <v>45.640009999999997</v>
      </c>
      <c r="F85" s="6" t="s">
        <v>126</v>
      </c>
      <c r="G85" s="6">
        <v>1619873585</v>
      </c>
      <c r="BM85">
        <v>22</v>
      </c>
      <c r="BN85" t="s">
        <v>40</v>
      </c>
      <c r="BO85">
        <v>15</v>
      </c>
      <c r="BP85" t="s">
        <v>307</v>
      </c>
      <c r="BQ85" s="37">
        <v>1006006</v>
      </c>
      <c r="BR85" t="s">
        <v>397</v>
      </c>
      <c r="BS85">
        <v>63716214</v>
      </c>
    </row>
    <row r="86" spans="1:71" x14ac:dyDescent="0.3">
      <c r="A86" s="6">
        <v>6</v>
      </c>
      <c r="B86" s="6" t="s">
        <v>1</v>
      </c>
      <c r="C86" s="6">
        <v>173</v>
      </c>
      <c r="D86" s="6">
        <v>0.25</v>
      </c>
      <c r="E86" s="6">
        <v>81.239990000000006</v>
      </c>
      <c r="F86" s="6" t="s">
        <v>128</v>
      </c>
      <c r="G86" s="6">
        <v>1131435479</v>
      </c>
      <c r="BM86">
        <v>22</v>
      </c>
      <c r="BN86" t="s">
        <v>40</v>
      </c>
      <c r="BO86">
        <v>10</v>
      </c>
      <c r="BP86" t="s">
        <v>307</v>
      </c>
      <c r="BQ86" s="37">
        <v>673999</v>
      </c>
      <c r="BR86" t="s">
        <v>398</v>
      </c>
      <c r="BS86">
        <v>85904123</v>
      </c>
    </row>
    <row r="87" spans="1:71" x14ac:dyDescent="0.3">
      <c r="A87" s="6">
        <v>7</v>
      </c>
      <c r="B87" s="6" t="s">
        <v>1</v>
      </c>
      <c r="C87" s="6">
        <v>89</v>
      </c>
      <c r="D87" s="6">
        <v>0.25</v>
      </c>
      <c r="E87" s="6">
        <v>85.57996</v>
      </c>
      <c r="F87" s="6" t="s">
        <v>130</v>
      </c>
      <c r="G87" s="6">
        <v>1746440696</v>
      </c>
      <c r="BM87">
        <v>22</v>
      </c>
      <c r="BN87" t="s">
        <v>40</v>
      </c>
      <c r="BO87">
        <v>37</v>
      </c>
      <c r="BP87" t="s">
        <v>307</v>
      </c>
      <c r="BQ87" s="37">
        <v>2526001</v>
      </c>
      <c r="BR87" t="s">
        <v>399</v>
      </c>
      <c r="BS87">
        <v>105600176</v>
      </c>
    </row>
    <row r="88" spans="1:71" x14ac:dyDescent="0.3">
      <c r="A88" s="5">
        <v>8</v>
      </c>
      <c r="B88" s="5" t="s">
        <v>1</v>
      </c>
      <c r="C88" s="5">
        <v>66</v>
      </c>
      <c r="D88" s="5">
        <v>0.25</v>
      </c>
      <c r="E88" s="5">
        <v>37.739989999999999</v>
      </c>
      <c r="F88" s="5" t="s">
        <v>65</v>
      </c>
      <c r="G88" s="5">
        <v>1281443430</v>
      </c>
      <c r="BM88">
        <v>22</v>
      </c>
      <c r="BN88" t="s">
        <v>40</v>
      </c>
      <c r="BO88">
        <v>16</v>
      </c>
      <c r="BP88" t="s">
        <v>307</v>
      </c>
      <c r="BQ88" s="37">
        <v>2132007</v>
      </c>
      <c r="BR88" t="s">
        <v>400</v>
      </c>
      <c r="BS88">
        <v>30215801</v>
      </c>
    </row>
    <row r="89" spans="1:71" x14ac:dyDescent="0.3">
      <c r="A89" s="5">
        <v>9</v>
      </c>
      <c r="B89" s="5" t="s">
        <v>1</v>
      </c>
      <c r="C89" s="5">
        <v>56</v>
      </c>
      <c r="D89" s="5">
        <v>0.25</v>
      </c>
      <c r="E89" s="5">
        <v>20.10004</v>
      </c>
      <c r="F89" s="5" t="s">
        <v>68</v>
      </c>
      <c r="G89" s="5">
        <v>844815848</v>
      </c>
    </row>
    <row r="90" spans="1:71" x14ac:dyDescent="0.3">
      <c r="A90" s="5">
        <v>10</v>
      </c>
      <c r="B90" s="5" t="s">
        <v>1</v>
      </c>
      <c r="C90" s="5">
        <v>42</v>
      </c>
      <c r="D90" s="5">
        <v>0.25</v>
      </c>
      <c r="E90" s="5">
        <v>17.959959999999999</v>
      </c>
      <c r="F90" s="5" t="s">
        <v>76</v>
      </c>
      <c r="G90" s="5">
        <v>-204971713</v>
      </c>
    </row>
    <row r="91" spans="1:71" x14ac:dyDescent="0.3">
      <c r="A91" s="5">
        <v>11</v>
      </c>
      <c r="B91" s="5" t="s">
        <v>1</v>
      </c>
      <c r="C91" s="5">
        <v>49</v>
      </c>
      <c r="D91" s="5">
        <v>0.25</v>
      </c>
      <c r="E91" s="5">
        <v>24.92004</v>
      </c>
      <c r="F91" s="5" t="s">
        <v>80</v>
      </c>
      <c r="G91" s="5">
        <v>-1314316082</v>
      </c>
    </row>
    <row r="92" spans="1:71" x14ac:dyDescent="0.3">
      <c r="A92" s="5">
        <v>12</v>
      </c>
      <c r="B92" s="5" t="s">
        <v>1</v>
      </c>
      <c r="C92" s="5">
        <v>61</v>
      </c>
      <c r="D92" s="5">
        <v>0.25</v>
      </c>
      <c r="E92" s="5">
        <v>28.900020000000001</v>
      </c>
      <c r="F92" s="5" t="s">
        <v>81</v>
      </c>
      <c r="G92" s="5">
        <v>-1307237748</v>
      </c>
    </row>
    <row r="93" spans="1:71" x14ac:dyDescent="0.3">
      <c r="A93" s="5">
        <v>13</v>
      </c>
      <c r="B93" s="5" t="s">
        <v>1</v>
      </c>
      <c r="C93" s="5">
        <v>80</v>
      </c>
      <c r="D93" s="5">
        <v>0.25</v>
      </c>
      <c r="E93" s="5">
        <v>40.059939999999997</v>
      </c>
      <c r="F93" s="5" t="s">
        <v>82</v>
      </c>
      <c r="G93" s="5">
        <v>-2067969056</v>
      </c>
    </row>
    <row r="94" spans="1:71" x14ac:dyDescent="0.3">
      <c r="A94" s="5">
        <v>14</v>
      </c>
      <c r="B94" s="5" t="s">
        <v>1</v>
      </c>
      <c r="C94" s="5">
        <v>105</v>
      </c>
      <c r="D94" s="5">
        <v>0.25</v>
      </c>
      <c r="E94" s="5">
        <v>90.660030000000006</v>
      </c>
      <c r="F94" s="5" t="s">
        <v>85</v>
      </c>
      <c r="G94" s="5">
        <v>-469581375</v>
      </c>
    </row>
    <row r="95" spans="1:71" x14ac:dyDescent="0.3">
      <c r="A95" s="5">
        <v>15</v>
      </c>
      <c r="B95" s="5" t="s">
        <v>1</v>
      </c>
      <c r="C95" s="5">
        <v>63</v>
      </c>
      <c r="D95" s="5">
        <v>0.25</v>
      </c>
      <c r="E95" s="5">
        <v>39.199950000000001</v>
      </c>
      <c r="F95" s="5" t="s">
        <v>92</v>
      </c>
      <c r="G95" s="5">
        <v>879201781</v>
      </c>
    </row>
    <row r="96" spans="1:71" x14ac:dyDescent="0.3">
      <c r="A96" s="5">
        <v>16</v>
      </c>
      <c r="B96" s="5" t="s">
        <v>1</v>
      </c>
      <c r="C96" s="5">
        <v>55</v>
      </c>
      <c r="D96" s="5">
        <v>0.25</v>
      </c>
      <c r="E96" s="5">
        <v>27.599979999999999</v>
      </c>
      <c r="F96" s="5" t="s">
        <v>93</v>
      </c>
      <c r="G96" s="5">
        <v>1174271504</v>
      </c>
    </row>
    <row r="97" spans="1:7" x14ac:dyDescent="0.3">
      <c r="A97" s="5">
        <v>17</v>
      </c>
      <c r="B97" s="5" t="s">
        <v>1</v>
      </c>
      <c r="C97" s="5">
        <v>57</v>
      </c>
      <c r="D97" s="5">
        <v>0.25</v>
      </c>
      <c r="E97" s="5">
        <v>32.440060000000003</v>
      </c>
      <c r="F97" s="5" t="s">
        <v>95</v>
      </c>
      <c r="G97" s="5">
        <v>996667286</v>
      </c>
    </row>
    <row r="98" spans="1:7" x14ac:dyDescent="0.3">
      <c r="A98" s="5">
        <v>18</v>
      </c>
      <c r="B98" s="5" t="s">
        <v>1</v>
      </c>
      <c r="C98" s="5">
        <v>40</v>
      </c>
      <c r="D98" s="5">
        <v>0.25</v>
      </c>
      <c r="E98" s="5">
        <v>39.820070000000001</v>
      </c>
      <c r="F98" s="5" t="s">
        <v>100</v>
      </c>
      <c r="G98" s="5">
        <v>1132470763</v>
      </c>
    </row>
    <row r="99" spans="1:7" x14ac:dyDescent="0.3">
      <c r="A99" s="5">
        <v>19</v>
      </c>
      <c r="B99" s="5" t="s">
        <v>1</v>
      </c>
      <c r="C99" s="5">
        <v>54</v>
      </c>
      <c r="D99" s="5">
        <v>0.25</v>
      </c>
      <c r="E99" s="5">
        <v>33.06006</v>
      </c>
      <c r="F99" s="5" t="s">
        <v>104</v>
      </c>
      <c r="G99" s="5">
        <v>609267190</v>
      </c>
    </row>
    <row r="100" spans="1:7" x14ac:dyDescent="0.3">
      <c r="A100" s="5">
        <v>20</v>
      </c>
      <c r="B100" s="5" t="s">
        <v>1</v>
      </c>
      <c r="C100" s="5">
        <v>70</v>
      </c>
      <c r="D100" s="5">
        <v>0.25</v>
      </c>
      <c r="E100" s="5">
        <v>35.139890000000001</v>
      </c>
      <c r="F100" s="5" t="s">
        <v>105</v>
      </c>
      <c r="G100" s="5">
        <v>-477393018</v>
      </c>
    </row>
    <row r="101" spans="1:7" x14ac:dyDescent="0.3">
      <c r="A101" s="5">
        <v>21</v>
      </c>
      <c r="B101" s="5" t="s">
        <v>1</v>
      </c>
      <c r="C101" s="5">
        <v>56</v>
      </c>
      <c r="D101" s="5">
        <v>0.25</v>
      </c>
      <c r="E101" s="5">
        <v>22.260010000000001</v>
      </c>
      <c r="F101" s="5" t="s">
        <v>109</v>
      </c>
      <c r="G101" s="5">
        <v>704291232</v>
      </c>
    </row>
    <row r="102" spans="1:7" x14ac:dyDescent="0.3">
      <c r="A102" s="5">
        <v>22</v>
      </c>
      <c r="B102" s="5" t="s">
        <v>1</v>
      </c>
      <c r="C102" s="5">
        <v>132</v>
      </c>
      <c r="D102" s="5">
        <v>0.25</v>
      </c>
      <c r="E102" s="5">
        <v>102.78</v>
      </c>
      <c r="F102" s="5" t="s">
        <v>111</v>
      </c>
      <c r="G102" s="5">
        <v>-787119312</v>
      </c>
    </row>
    <row r="103" spans="1:7" x14ac:dyDescent="0.3">
      <c r="A103" s="5">
        <v>3</v>
      </c>
      <c r="B103" s="5" t="s">
        <v>1</v>
      </c>
      <c r="C103" s="5">
        <v>124</v>
      </c>
      <c r="D103" s="5">
        <v>0.1</v>
      </c>
      <c r="E103" s="5">
        <v>178.91990000000001</v>
      </c>
      <c r="F103" s="5" t="s">
        <v>121</v>
      </c>
      <c r="G103" s="5">
        <v>-1209209755</v>
      </c>
    </row>
    <row r="104" spans="1:7" x14ac:dyDescent="0.3">
      <c r="A104" s="20">
        <v>1</v>
      </c>
      <c r="B104" s="20" t="s">
        <v>1</v>
      </c>
      <c r="C104" s="20">
        <v>13</v>
      </c>
      <c r="D104" s="20">
        <v>0.25</v>
      </c>
      <c r="E104" s="20">
        <v>11.54</v>
      </c>
      <c r="F104" s="20" t="s">
        <v>260</v>
      </c>
      <c r="G104" s="20">
        <v>28463194</v>
      </c>
    </row>
    <row r="105" spans="1:7" x14ac:dyDescent="0.3">
      <c r="A105" s="20">
        <v>2</v>
      </c>
      <c r="B105" s="20" t="s">
        <v>1</v>
      </c>
      <c r="C105" s="20">
        <v>105</v>
      </c>
      <c r="D105" s="20">
        <v>0.25</v>
      </c>
      <c r="E105" s="20">
        <v>68.679990000000004</v>
      </c>
      <c r="F105" s="20" t="s">
        <v>261</v>
      </c>
      <c r="G105" s="20">
        <v>393</v>
      </c>
    </row>
    <row r="106" spans="1:7" x14ac:dyDescent="0.3">
      <c r="A106" s="20">
        <v>20</v>
      </c>
      <c r="B106" s="20" t="s">
        <v>40</v>
      </c>
      <c r="C106" s="20">
        <v>21</v>
      </c>
      <c r="D106" s="20">
        <v>0.25</v>
      </c>
      <c r="E106" s="20">
        <v>19.579989999999999</v>
      </c>
      <c r="F106" s="20">
        <v>14.3</v>
      </c>
      <c r="G106" s="20">
        <v>12426112</v>
      </c>
    </row>
    <row r="107" spans="1:7" x14ac:dyDescent="0.3">
      <c r="A107" s="20">
        <v>20</v>
      </c>
      <c r="B107" s="20" t="s">
        <v>40</v>
      </c>
      <c r="C107" s="20">
        <v>43</v>
      </c>
      <c r="D107" s="20">
        <v>0.25</v>
      </c>
      <c r="E107" s="20">
        <v>25.579989999999999</v>
      </c>
      <c r="F107" s="20" t="s">
        <v>262</v>
      </c>
      <c r="G107" s="20">
        <v>67520214</v>
      </c>
    </row>
    <row r="108" spans="1:7" x14ac:dyDescent="0.3">
      <c r="A108" s="20">
        <v>20</v>
      </c>
      <c r="B108" s="20" t="s">
        <v>40</v>
      </c>
      <c r="C108" s="20">
        <v>10</v>
      </c>
      <c r="D108" s="20">
        <v>0.25</v>
      </c>
      <c r="E108" s="20">
        <v>7</v>
      </c>
      <c r="F108" s="20" t="s">
        <v>263</v>
      </c>
      <c r="G108" s="20">
        <v>5990482</v>
      </c>
    </row>
    <row r="109" spans="1:7" x14ac:dyDescent="0.3">
      <c r="A109" s="20">
        <v>20</v>
      </c>
      <c r="B109" s="20" t="s">
        <v>40</v>
      </c>
      <c r="C109" s="20">
        <v>13</v>
      </c>
      <c r="D109" s="20">
        <v>0.25</v>
      </c>
      <c r="E109" s="20">
        <v>7.6199950000000003</v>
      </c>
      <c r="F109" s="20" t="s">
        <v>264</v>
      </c>
      <c r="G109" s="20">
        <v>125452936</v>
      </c>
    </row>
    <row r="110" spans="1:7" x14ac:dyDescent="0.3">
      <c r="A110" s="20">
        <v>20</v>
      </c>
      <c r="B110" s="20" t="s">
        <v>40</v>
      </c>
      <c r="C110" s="20">
        <v>38</v>
      </c>
      <c r="D110" s="20">
        <v>0.25</v>
      </c>
      <c r="E110" s="20">
        <v>30.42</v>
      </c>
      <c r="F110" s="20" t="s">
        <v>265</v>
      </c>
      <c r="G110" s="20">
        <v>57600169</v>
      </c>
    </row>
    <row r="111" spans="1:7" x14ac:dyDescent="0.3">
      <c r="A111" s="20">
        <v>20</v>
      </c>
      <c r="B111" s="20" t="s">
        <v>40</v>
      </c>
      <c r="C111" s="20">
        <v>10</v>
      </c>
      <c r="D111" s="20">
        <v>0.25</v>
      </c>
      <c r="E111" s="20">
        <v>8.0200040000000001</v>
      </c>
      <c r="F111" s="20" t="s">
        <v>266</v>
      </c>
      <c r="G111" s="20">
        <v>64204254</v>
      </c>
    </row>
    <row r="112" spans="1:7" x14ac:dyDescent="0.3">
      <c r="A112" s="20">
        <v>20</v>
      </c>
      <c r="B112" s="20" t="s">
        <v>40</v>
      </c>
      <c r="C112" s="20">
        <v>15</v>
      </c>
      <c r="D112" s="20">
        <v>0.25</v>
      </c>
      <c r="E112" s="20">
        <v>12.379989999999999</v>
      </c>
      <c r="F112" s="20" t="s">
        <v>267</v>
      </c>
      <c r="G112" s="20">
        <v>67513574</v>
      </c>
    </row>
    <row r="113" spans="1:7" x14ac:dyDescent="0.3">
      <c r="A113" s="20">
        <v>20</v>
      </c>
      <c r="B113" s="20" t="s">
        <v>40</v>
      </c>
      <c r="C113" s="20">
        <v>19</v>
      </c>
      <c r="D113" s="20">
        <v>0.25</v>
      </c>
      <c r="E113" s="20">
        <v>15.479979999999999</v>
      </c>
      <c r="F113" s="20" t="s">
        <v>268</v>
      </c>
      <c r="G113" s="20">
        <v>92198551</v>
      </c>
    </row>
    <row r="114" spans="1:7" x14ac:dyDescent="0.3">
      <c r="A114" s="20">
        <v>20</v>
      </c>
      <c r="B114" s="20" t="s">
        <v>40</v>
      </c>
      <c r="C114" s="20">
        <v>36</v>
      </c>
      <c r="D114" s="20">
        <v>0.25</v>
      </c>
      <c r="E114" s="20">
        <v>30.62003</v>
      </c>
      <c r="F114" s="20" t="s">
        <v>269</v>
      </c>
      <c r="G114" s="20">
        <v>152521762</v>
      </c>
    </row>
    <row r="115" spans="1:7" x14ac:dyDescent="0.3">
      <c r="A115" s="20">
        <v>20</v>
      </c>
      <c r="B115" s="20" t="s">
        <v>40</v>
      </c>
      <c r="C115" s="20">
        <v>5</v>
      </c>
      <c r="D115" s="20">
        <v>0.25</v>
      </c>
      <c r="E115" s="20">
        <v>2.5199889999999998</v>
      </c>
      <c r="F115" s="20" t="s">
        <v>270</v>
      </c>
      <c r="G115" s="20">
        <v>63718312</v>
      </c>
    </row>
    <row r="116" spans="1:7" x14ac:dyDescent="0.3">
      <c r="A116" s="20">
        <v>20</v>
      </c>
      <c r="B116" s="20" t="s">
        <v>40</v>
      </c>
      <c r="C116" s="20">
        <v>29</v>
      </c>
      <c r="D116" s="20">
        <v>0.25</v>
      </c>
      <c r="E116" s="20">
        <v>20.260010000000001</v>
      </c>
      <c r="F116" s="20" t="s">
        <v>271</v>
      </c>
      <c r="G116" s="20">
        <v>116032146</v>
      </c>
    </row>
    <row r="117" spans="1:7" x14ac:dyDescent="0.3">
      <c r="A117" s="20">
        <v>20</v>
      </c>
      <c r="B117" s="20" t="s">
        <v>40</v>
      </c>
      <c r="C117" s="20">
        <v>11</v>
      </c>
      <c r="D117" s="20">
        <v>0.25</v>
      </c>
      <c r="E117" s="20">
        <v>12.520020000000001</v>
      </c>
      <c r="F117" s="20" t="s">
        <v>272</v>
      </c>
      <c r="G117" s="20">
        <v>34326497</v>
      </c>
    </row>
    <row r="118" spans="1:7" x14ac:dyDescent="0.3">
      <c r="A118" s="20">
        <v>20</v>
      </c>
      <c r="B118" s="20" t="s">
        <v>40</v>
      </c>
      <c r="C118" s="20">
        <v>41</v>
      </c>
      <c r="D118" s="20">
        <v>0.25</v>
      </c>
      <c r="E118" s="20">
        <v>28.600010000000001</v>
      </c>
      <c r="F118" s="20" t="s">
        <v>273</v>
      </c>
      <c r="G118" s="20">
        <v>174</v>
      </c>
    </row>
    <row r="119" spans="1:7" x14ac:dyDescent="0.3">
      <c r="A119" s="20">
        <v>20</v>
      </c>
      <c r="B119" s="20" t="s">
        <v>40</v>
      </c>
      <c r="C119" s="20">
        <v>38</v>
      </c>
      <c r="D119" s="20">
        <v>0.25</v>
      </c>
      <c r="E119" s="20">
        <v>29.82001</v>
      </c>
      <c r="F119" s="20" t="s">
        <v>274</v>
      </c>
      <c r="G119" s="20">
        <v>100812978</v>
      </c>
    </row>
    <row r="120" spans="1:7" x14ac:dyDescent="0.3">
      <c r="A120" s="20">
        <v>20</v>
      </c>
      <c r="B120" s="20" t="s">
        <v>40</v>
      </c>
      <c r="C120" s="20">
        <v>52</v>
      </c>
      <c r="D120" s="20">
        <v>0.25</v>
      </c>
      <c r="E120" s="20">
        <v>33.399990000000003</v>
      </c>
      <c r="F120" s="20" t="s">
        <v>275</v>
      </c>
      <c r="G120" s="20">
        <v>204240230</v>
      </c>
    </row>
    <row r="121" spans="1:7" x14ac:dyDescent="0.3">
      <c r="A121" s="20">
        <v>20</v>
      </c>
      <c r="B121" s="20" t="s">
        <v>40</v>
      </c>
      <c r="C121" s="20">
        <v>17</v>
      </c>
      <c r="D121" s="20">
        <v>0.25</v>
      </c>
      <c r="E121" s="20">
        <v>12.34</v>
      </c>
      <c r="F121" s="20" t="s">
        <v>276</v>
      </c>
      <c r="G121" s="20">
        <v>51088109</v>
      </c>
    </row>
    <row r="122" spans="1:7" x14ac:dyDescent="0.3">
      <c r="A122" s="20">
        <v>20</v>
      </c>
      <c r="B122" s="20" t="s">
        <v>40</v>
      </c>
      <c r="C122" s="20">
        <v>35</v>
      </c>
      <c r="D122" s="20">
        <v>0.25</v>
      </c>
      <c r="E122" s="20">
        <v>28.419979999999999</v>
      </c>
      <c r="F122" s="20" t="s">
        <v>277</v>
      </c>
      <c r="G122" s="20">
        <v>36200186</v>
      </c>
    </row>
    <row r="123" spans="1:7" x14ac:dyDescent="0.3">
      <c r="A123" s="20">
        <v>20</v>
      </c>
      <c r="B123" s="20" t="s">
        <v>40</v>
      </c>
      <c r="C123" s="20">
        <v>22</v>
      </c>
      <c r="D123" s="20">
        <v>0.25</v>
      </c>
      <c r="E123" s="20">
        <v>17.12</v>
      </c>
      <c r="F123" s="20">
        <v>14.34</v>
      </c>
      <c r="G123" s="20">
        <v>32939959</v>
      </c>
    </row>
    <row r="124" spans="1:7" x14ac:dyDescent="0.3">
      <c r="A124" s="20">
        <v>21</v>
      </c>
      <c r="B124" s="20" t="s">
        <v>40</v>
      </c>
      <c r="C124" s="20">
        <v>7</v>
      </c>
      <c r="D124" s="20">
        <v>0.25</v>
      </c>
      <c r="E124" s="20">
        <v>5.7799990000000001</v>
      </c>
      <c r="F124" s="20" t="s">
        <v>278</v>
      </c>
      <c r="G124" s="20">
        <v>61397949</v>
      </c>
    </row>
    <row r="125" spans="1:7" x14ac:dyDescent="0.3">
      <c r="A125" s="20">
        <v>21</v>
      </c>
      <c r="B125" s="20" t="s">
        <v>40</v>
      </c>
      <c r="C125" s="20">
        <v>39</v>
      </c>
      <c r="D125" s="20">
        <v>0.25</v>
      </c>
      <c r="E125" s="20">
        <v>33.520000000000003</v>
      </c>
      <c r="F125" s="20" t="s">
        <v>279</v>
      </c>
      <c r="G125" s="20">
        <v>100262577</v>
      </c>
    </row>
    <row r="126" spans="1:7" x14ac:dyDescent="0.3">
      <c r="A126" s="20">
        <v>21</v>
      </c>
      <c r="B126" s="20" t="s">
        <v>40</v>
      </c>
      <c r="C126" s="20">
        <v>10</v>
      </c>
      <c r="D126" s="20">
        <v>0.25</v>
      </c>
      <c r="E126" s="20">
        <v>11.16</v>
      </c>
      <c r="F126" s="20" t="s">
        <v>280</v>
      </c>
      <c r="G126" s="20">
        <v>64962918</v>
      </c>
    </row>
    <row r="127" spans="1:7" x14ac:dyDescent="0.3">
      <c r="A127" s="20">
        <v>21</v>
      </c>
      <c r="B127" s="20" t="s">
        <v>40</v>
      </c>
      <c r="C127" s="20">
        <v>26</v>
      </c>
      <c r="D127" s="20">
        <v>0.25</v>
      </c>
      <c r="E127" s="20">
        <v>19.399989999999999</v>
      </c>
      <c r="F127" s="20" t="s">
        <v>281</v>
      </c>
      <c r="G127" s="20">
        <v>38732566</v>
      </c>
    </row>
    <row r="128" spans="1:7" x14ac:dyDescent="0.3">
      <c r="A128" s="20">
        <v>21</v>
      </c>
      <c r="B128" s="20" t="s">
        <v>40</v>
      </c>
      <c r="C128" s="20">
        <v>9</v>
      </c>
      <c r="D128" s="20">
        <v>0.25</v>
      </c>
      <c r="E128" s="20">
        <v>8.6600040000000007</v>
      </c>
      <c r="F128" s="20" t="s">
        <v>282</v>
      </c>
      <c r="G128" s="20">
        <v>64518380</v>
      </c>
    </row>
    <row r="129" spans="1:7" x14ac:dyDescent="0.3">
      <c r="A129" s="20">
        <v>21</v>
      </c>
      <c r="B129" s="20" t="s">
        <v>40</v>
      </c>
      <c r="C129" s="20">
        <v>12</v>
      </c>
      <c r="D129" s="20">
        <v>0.25</v>
      </c>
      <c r="E129" s="20">
        <v>6.3000030000000002</v>
      </c>
      <c r="F129" s="20" t="s">
        <v>283</v>
      </c>
      <c r="G129" s="20">
        <v>63877056</v>
      </c>
    </row>
    <row r="130" spans="1:7" x14ac:dyDescent="0.3">
      <c r="A130" s="20">
        <v>21</v>
      </c>
      <c r="B130" s="20" t="s">
        <v>40</v>
      </c>
      <c r="C130" s="20">
        <v>20</v>
      </c>
      <c r="D130" s="20">
        <v>0.25</v>
      </c>
      <c r="E130" s="20">
        <v>26.599989999999998</v>
      </c>
      <c r="F130" s="20" t="s">
        <v>284</v>
      </c>
      <c r="G130" s="20">
        <v>56942753</v>
      </c>
    </row>
    <row r="131" spans="1:7" x14ac:dyDescent="0.3">
      <c r="A131" s="20">
        <v>21</v>
      </c>
      <c r="B131" s="20" t="s">
        <v>40</v>
      </c>
      <c r="C131" s="20">
        <v>18</v>
      </c>
      <c r="D131" s="20">
        <v>0.25</v>
      </c>
      <c r="E131" s="20">
        <v>15.879989999999999</v>
      </c>
      <c r="F131" s="20" t="s">
        <v>285</v>
      </c>
      <c r="G131" s="20">
        <v>930151</v>
      </c>
    </row>
    <row r="132" spans="1:7" x14ac:dyDescent="0.3">
      <c r="A132" s="20">
        <v>21</v>
      </c>
      <c r="B132" s="20" t="s">
        <v>40</v>
      </c>
      <c r="C132" s="20">
        <v>15</v>
      </c>
      <c r="D132" s="20">
        <v>0.25</v>
      </c>
      <c r="E132" s="20">
        <v>10.959989999999999</v>
      </c>
      <c r="F132" s="20" t="s">
        <v>286</v>
      </c>
      <c r="G132" s="20">
        <v>6798188</v>
      </c>
    </row>
    <row r="133" spans="1:7" x14ac:dyDescent="0.3">
      <c r="A133" s="20">
        <v>1</v>
      </c>
      <c r="B133" s="20" t="s">
        <v>40</v>
      </c>
      <c r="C133" s="20">
        <v>11</v>
      </c>
      <c r="D133" s="20">
        <v>0.25</v>
      </c>
      <c r="E133" s="20">
        <v>9</v>
      </c>
      <c r="F133" s="20" t="s">
        <v>287</v>
      </c>
      <c r="G133" s="20">
        <v>39513529</v>
      </c>
    </row>
    <row r="134" spans="1:7" x14ac:dyDescent="0.3">
      <c r="A134" s="20">
        <v>1</v>
      </c>
      <c r="B134" s="20" t="s">
        <v>1</v>
      </c>
      <c r="C134" s="20">
        <v>12</v>
      </c>
      <c r="D134" s="20">
        <v>0.25</v>
      </c>
      <c r="E134" s="20">
        <v>5.7399899999999997</v>
      </c>
      <c r="F134" s="20" t="s">
        <v>288</v>
      </c>
      <c r="G134" s="20">
        <v>25719190</v>
      </c>
    </row>
    <row r="135" spans="1:7" x14ac:dyDescent="0.3">
      <c r="A135" s="20">
        <v>2</v>
      </c>
      <c r="B135" s="20" t="s">
        <v>1</v>
      </c>
      <c r="C135" s="20">
        <v>93</v>
      </c>
      <c r="D135" s="20">
        <v>0.25</v>
      </c>
      <c r="E135" s="20">
        <v>65.78</v>
      </c>
      <c r="F135" s="20" t="s">
        <v>30</v>
      </c>
      <c r="G135" s="20">
        <v>345</v>
      </c>
    </row>
    <row r="136" spans="1:7" x14ac:dyDescent="0.3">
      <c r="A136" s="20">
        <v>3</v>
      </c>
      <c r="B136" s="20" t="s">
        <v>40</v>
      </c>
      <c r="C136" s="20">
        <v>5</v>
      </c>
      <c r="D136" s="20">
        <v>0.25</v>
      </c>
      <c r="E136" s="20">
        <v>4.7600100000000003</v>
      </c>
      <c r="F136" s="20" t="s">
        <v>289</v>
      </c>
      <c r="G136" s="20">
        <v>22062669</v>
      </c>
    </row>
    <row r="137" spans="1:7" x14ac:dyDescent="0.3">
      <c r="A137" s="20">
        <v>3</v>
      </c>
      <c r="B137" s="20" t="s">
        <v>1</v>
      </c>
      <c r="C137" s="20">
        <v>132</v>
      </c>
      <c r="D137" s="20">
        <v>0.25</v>
      </c>
      <c r="E137" s="20">
        <v>67.739990000000006</v>
      </c>
      <c r="F137" s="20" t="s">
        <v>290</v>
      </c>
      <c r="G137" s="20">
        <v>411130094</v>
      </c>
    </row>
    <row r="138" spans="1:7" x14ac:dyDescent="0.3">
      <c r="A138" s="20">
        <v>4</v>
      </c>
      <c r="B138" s="20" t="s">
        <v>40</v>
      </c>
      <c r="C138" s="20">
        <v>20</v>
      </c>
      <c r="D138" s="20">
        <v>0.25</v>
      </c>
      <c r="E138" s="20">
        <v>7.1200260000000002</v>
      </c>
      <c r="F138" s="20" t="s">
        <v>291</v>
      </c>
      <c r="G138" s="20">
        <v>81156479</v>
      </c>
    </row>
    <row r="139" spans="1:7" x14ac:dyDescent="0.3">
      <c r="A139" s="20">
        <v>4</v>
      </c>
      <c r="B139" s="20" t="s">
        <v>1</v>
      </c>
      <c r="C139" s="20">
        <v>33</v>
      </c>
      <c r="D139" s="20">
        <v>0.25</v>
      </c>
      <c r="E139" s="20">
        <v>14.180020000000001</v>
      </c>
      <c r="F139" s="20" t="s">
        <v>32</v>
      </c>
      <c r="G139" s="20">
        <v>24800570</v>
      </c>
    </row>
    <row r="140" spans="1:7" x14ac:dyDescent="0.3">
      <c r="A140" s="20">
        <v>5</v>
      </c>
      <c r="B140" s="20" t="s">
        <v>40</v>
      </c>
      <c r="C140" s="20">
        <v>18</v>
      </c>
      <c r="D140" s="20">
        <v>0.25</v>
      </c>
      <c r="E140" s="20">
        <v>12.64001</v>
      </c>
      <c r="F140" s="20" t="s">
        <v>292</v>
      </c>
      <c r="G140" s="20">
        <v>66520125</v>
      </c>
    </row>
    <row r="141" spans="1:7" x14ac:dyDescent="0.3">
      <c r="A141" s="20">
        <v>5</v>
      </c>
      <c r="B141" s="20" t="s">
        <v>40</v>
      </c>
      <c r="C141" s="20">
        <v>15</v>
      </c>
      <c r="D141" s="20">
        <v>0.25</v>
      </c>
      <c r="E141" s="20">
        <v>9.0799869999999991</v>
      </c>
      <c r="F141" s="20" t="s">
        <v>293</v>
      </c>
      <c r="G141" s="20">
        <v>83397749</v>
      </c>
    </row>
    <row r="142" spans="1:7" x14ac:dyDescent="0.3">
      <c r="A142" s="20">
        <v>5</v>
      </c>
      <c r="B142" s="20" t="s">
        <v>40</v>
      </c>
      <c r="C142" s="20">
        <v>37</v>
      </c>
      <c r="D142" s="20">
        <v>0.25</v>
      </c>
      <c r="E142" s="20">
        <v>19.38</v>
      </c>
      <c r="F142" s="20" t="s">
        <v>294</v>
      </c>
      <c r="G142" s="20">
        <v>182</v>
      </c>
    </row>
    <row r="143" spans="1:7" x14ac:dyDescent="0.3">
      <c r="A143" s="20">
        <v>5</v>
      </c>
      <c r="B143" s="20" t="s">
        <v>40</v>
      </c>
      <c r="C143" s="20">
        <v>5</v>
      </c>
      <c r="D143" s="20">
        <v>0.25</v>
      </c>
      <c r="E143" s="20">
        <v>3.3600159999999999</v>
      </c>
      <c r="F143" s="20" t="s">
        <v>295</v>
      </c>
      <c r="G143" s="20">
        <v>17507273</v>
      </c>
    </row>
    <row r="144" spans="1:7" x14ac:dyDescent="0.3">
      <c r="A144" s="20">
        <v>5</v>
      </c>
      <c r="B144" s="20" t="s">
        <v>1</v>
      </c>
      <c r="C144" s="20">
        <v>52</v>
      </c>
      <c r="D144" s="20">
        <v>0.25</v>
      </c>
      <c r="E144" s="20">
        <v>23</v>
      </c>
      <c r="F144" s="20" t="s">
        <v>296</v>
      </c>
      <c r="G144" s="20">
        <v>169600220</v>
      </c>
    </row>
    <row r="145" spans="1:7" x14ac:dyDescent="0.3">
      <c r="A145" s="20">
        <v>6</v>
      </c>
      <c r="B145" s="20" t="s">
        <v>40</v>
      </c>
      <c r="C145" s="20">
        <v>52</v>
      </c>
      <c r="D145" s="20">
        <v>0.25</v>
      </c>
      <c r="E145" s="20">
        <v>49.040039999999998</v>
      </c>
      <c r="F145" s="20" t="s">
        <v>297</v>
      </c>
      <c r="G145" s="20">
        <v>74289812</v>
      </c>
    </row>
    <row r="146" spans="1:7" x14ac:dyDescent="0.3">
      <c r="A146" s="20">
        <v>6</v>
      </c>
      <c r="B146" s="20" t="s">
        <v>40</v>
      </c>
      <c r="C146" s="20">
        <v>122</v>
      </c>
      <c r="D146" s="20">
        <v>0.25</v>
      </c>
      <c r="E146" s="20">
        <v>75.580020000000005</v>
      </c>
      <c r="F146" s="20" t="s">
        <v>298</v>
      </c>
      <c r="G146" s="20">
        <v>399</v>
      </c>
    </row>
    <row r="147" spans="1:7" x14ac:dyDescent="0.3">
      <c r="A147" s="20">
        <v>6</v>
      </c>
      <c r="B147" s="20" t="s">
        <v>40</v>
      </c>
      <c r="C147" s="20">
        <v>12</v>
      </c>
      <c r="D147" s="20">
        <v>0.25</v>
      </c>
      <c r="E147" s="20">
        <v>17.279969999999999</v>
      </c>
      <c r="F147" s="20" t="s">
        <v>299</v>
      </c>
      <c r="G147" s="20">
        <v>121841475</v>
      </c>
    </row>
    <row r="148" spans="1:7" x14ac:dyDescent="0.3">
      <c r="A148" s="20">
        <v>7</v>
      </c>
      <c r="B148" s="20" t="s">
        <v>40</v>
      </c>
      <c r="C148" s="20">
        <v>13</v>
      </c>
      <c r="D148" s="20">
        <v>0.25</v>
      </c>
      <c r="E148" s="20">
        <v>7</v>
      </c>
      <c r="F148" s="20" t="s">
        <v>300</v>
      </c>
      <c r="G148" s="20">
        <v>30385002</v>
      </c>
    </row>
    <row r="149" spans="1:7" x14ac:dyDescent="0.3">
      <c r="A149" s="20">
        <v>7</v>
      </c>
      <c r="B149" s="20" t="s">
        <v>40</v>
      </c>
      <c r="C149" s="20">
        <v>20</v>
      </c>
      <c r="D149" s="20">
        <v>0.25</v>
      </c>
      <c r="E149" s="20">
        <v>20.040040000000001</v>
      </c>
      <c r="F149" s="20" t="s">
        <v>301</v>
      </c>
      <c r="G149" s="20">
        <v>29464120</v>
      </c>
    </row>
    <row r="150" spans="1:7" x14ac:dyDescent="0.3">
      <c r="A150" s="8">
        <v>1</v>
      </c>
      <c r="B150" s="8" t="s">
        <v>1</v>
      </c>
      <c r="C150" s="8">
        <v>10</v>
      </c>
      <c r="D150" s="8">
        <v>0.25</v>
      </c>
      <c r="E150" s="8">
        <v>7.4400019999999998</v>
      </c>
      <c r="F150" s="8" t="s">
        <v>19</v>
      </c>
      <c r="G150" s="8">
        <v>94725236</v>
      </c>
    </row>
    <row r="151" spans="1:7" x14ac:dyDescent="0.3">
      <c r="A151" s="8">
        <v>2</v>
      </c>
      <c r="B151" s="8" t="s">
        <v>1</v>
      </c>
      <c r="C151" s="8">
        <v>101</v>
      </c>
      <c r="D151" s="8">
        <v>0.25</v>
      </c>
      <c r="E151" s="8">
        <v>79.34</v>
      </c>
      <c r="F151" s="8" t="s">
        <v>303</v>
      </c>
      <c r="G151" s="8">
        <v>338534748</v>
      </c>
    </row>
    <row r="152" spans="1:7" x14ac:dyDescent="0.3">
      <c r="A152" s="8">
        <v>3</v>
      </c>
      <c r="B152" s="8" t="s">
        <v>1</v>
      </c>
      <c r="C152" s="8">
        <v>127</v>
      </c>
      <c r="D152" s="8">
        <v>0.25</v>
      </c>
      <c r="E152" s="8">
        <v>115.62</v>
      </c>
      <c r="F152" s="8" t="s">
        <v>304</v>
      </c>
      <c r="G152" s="8">
        <v>441</v>
      </c>
    </row>
    <row r="153" spans="1:7" x14ac:dyDescent="0.3">
      <c r="A153" s="8">
        <v>4</v>
      </c>
      <c r="B153" s="8" t="s">
        <v>1</v>
      </c>
      <c r="C153" s="8">
        <v>36</v>
      </c>
      <c r="D153" s="8">
        <v>0.25</v>
      </c>
      <c r="E153" s="8">
        <v>25.34</v>
      </c>
      <c r="F153" s="8" t="s">
        <v>305</v>
      </c>
      <c r="G153" s="8">
        <v>116389622</v>
      </c>
    </row>
    <row r="154" spans="1:7" x14ac:dyDescent="0.3">
      <c r="A154" s="8">
        <v>5</v>
      </c>
      <c r="B154" s="8" t="s">
        <v>1</v>
      </c>
      <c r="C154" s="8">
        <v>52</v>
      </c>
      <c r="D154" s="8">
        <v>0.25</v>
      </c>
      <c r="E154" s="8">
        <v>42.48001</v>
      </c>
      <c r="F154" s="8" t="s">
        <v>190</v>
      </c>
      <c r="G154" s="8">
        <v>126777194</v>
      </c>
    </row>
  </sheetData>
  <sortState ref="A3:E250">
    <sortCondition ref="C3:C250"/>
  </sortState>
  <mergeCells count="8">
    <mergeCell ref="AW1:BC1"/>
    <mergeCell ref="BE1:BK1"/>
    <mergeCell ref="A1:E1"/>
    <mergeCell ref="AO1:AU1"/>
    <mergeCell ref="Y1:AE1"/>
    <mergeCell ref="AG1:AM1"/>
    <mergeCell ref="I1:O1"/>
    <mergeCell ref="Q1:W1"/>
  </mergeCells>
  <conditionalFormatting sqref="AP3:AP44">
    <cfRule type="cellIs" dxfId="315" priority="17" operator="equal">
      <formula>"TRUE"</formula>
    </cfRule>
  </conditionalFormatting>
  <conditionalFormatting sqref="M1:M1048576 U1:U1048576 AC1:AC1048576 AK1:AK1048576 AS1:AS1048576 BA1:BA1048576 BI1:BI1048576 E3:E103">
    <cfRule type="cellIs" dxfId="314" priority="13" operator="lessThan">
      <formula>0</formula>
    </cfRule>
  </conditionalFormatting>
  <conditionalFormatting sqref="E104:E149">
    <cfRule type="cellIs" dxfId="313" priority="4" operator="lessThan">
      <formula>0</formula>
    </cfRule>
  </conditionalFormatting>
  <conditionalFormatting sqref="E150:E154">
    <cfRule type="cellIs" dxfId="312" priority="3" operator="lessThan">
      <formula>0</formula>
    </cfRule>
  </conditionalFormatting>
  <conditionalFormatting sqref="C278:C1048576 C1:C154">
    <cfRule type="cellIs" priority="2" operator="notBetween">
      <formula>0</formula>
      <formula>300</formula>
    </cfRule>
  </conditionalFormatting>
  <conditionalFormatting sqref="E278:E1048576 E1:E154">
    <cfRule type="cellIs" dxfId="311" priority="1" operator="notBetween">
      <formula>0</formula>
      <formula>200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A7D6-834D-4B71-8B8B-E1D017B8A9EC}">
  <sheetPr codeName="Blad3"/>
  <dimension ref="A1:Q103"/>
  <sheetViews>
    <sheetView tabSelected="1" topLeftCell="L1" workbookViewId="0">
      <selection activeCell="Q6" sqref="Q6"/>
    </sheetView>
  </sheetViews>
  <sheetFormatPr defaultRowHeight="14.4" x14ac:dyDescent="0.3"/>
  <cols>
    <col min="1" max="1" width="5.88671875" bestFit="1" customWidth="1"/>
    <col min="2" max="2" width="8" bestFit="1" customWidth="1"/>
    <col min="3" max="3" width="5.77734375" bestFit="1" customWidth="1"/>
    <col min="4" max="4" width="15.77734375" bestFit="1" customWidth="1"/>
    <col min="5" max="5" width="11.109375" bestFit="1" customWidth="1"/>
    <col min="6" max="6" width="12" style="1" customWidth="1"/>
    <col min="7" max="7" width="1.88671875" style="1" bestFit="1" customWidth="1"/>
    <col min="9" max="9" width="11.6640625" bestFit="1" customWidth="1"/>
    <col min="11" max="11" width="21.6640625" bestFit="1" customWidth="1"/>
    <col min="12" max="12" width="12.109375" bestFit="1" customWidth="1"/>
    <col min="13" max="13" width="20.44140625" bestFit="1" customWidth="1"/>
    <col min="14" max="14" width="16.88671875" bestFit="1" customWidth="1"/>
    <col min="15" max="15" width="18.77734375" bestFit="1" customWidth="1"/>
  </cols>
  <sheetData>
    <row r="1" spans="1:17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s="3" t="s">
        <v>120</v>
      </c>
      <c r="H1" t="s">
        <v>0</v>
      </c>
      <c r="I1" t="s">
        <v>2</v>
      </c>
      <c r="J1" s="2" t="s">
        <v>3</v>
      </c>
      <c r="K1" t="s">
        <v>11</v>
      </c>
      <c r="L1" t="s">
        <v>7</v>
      </c>
      <c r="M1" t="s">
        <v>8</v>
      </c>
      <c r="N1" t="s">
        <v>9</v>
      </c>
      <c r="O1" t="s">
        <v>10</v>
      </c>
      <c r="P1" t="s">
        <v>175</v>
      </c>
      <c r="Q1" t="s">
        <v>176</v>
      </c>
    </row>
    <row r="2" spans="1:17" x14ac:dyDescent="0.3">
      <c r="A2">
        <v>1</v>
      </c>
      <c r="B2" t="s">
        <v>1</v>
      </c>
      <c r="C2">
        <v>10</v>
      </c>
      <c r="D2">
        <v>1E-3</v>
      </c>
      <c r="E2">
        <v>2.4600029999999999</v>
      </c>
      <c r="F2" t="s">
        <v>19</v>
      </c>
      <c r="G2" t="s">
        <v>18</v>
      </c>
      <c r="H2">
        <f>IF(LEN(F2)=C2,1,0)</f>
        <v>1</v>
      </c>
      <c r="I2">
        <f t="shared" ref="I2:I33" si="0">E2-(D2*C2)</f>
        <v>2.4500030000000002</v>
      </c>
      <c r="J2">
        <v>10</v>
      </c>
      <c r="K2">
        <f>IF(C2&gt;0,IF(C2&lt;J2,1,IF(C2=J2,0.5,0)),0)</f>
        <v>0.5</v>
      </c>
      <c r="L2" s="10">
        <f>AVERAGE('1'!C2:C1000)</f>
        <v>11.3</v>
      </c>
      <c r="M2" s="10">
        <f>AVERAGE('1'!D2:D1000)</f>
        <v>0.22509999999999999</v>
      </c>
      <c r="N2" s="10">
        <f>AVERAGE('1'!E2:E1000)</f>
        <v>5.7579995000000004</v>
      </c>
      <c r="O2" s="10">
        <f>N2-(L2*M2)</f>
        <v>3.2143695000000001</v>
      </c>
      <c r="P2" s="12">
        <f>'1'!H1-2</f>
        <v>10</v>
      </c>
      <c r="Q2" s="12">
        <f>'1'!P1-2</f>
        <v>1</v>
      </c>
    </row>
    <row r="3" spans="1:17" x14ac:dyDescent="0.3">
      <c r="A3">
        <v>2</v>
      </c>
      <c r="B3" t="s">
        <v>1</v>
      </c>
      <c r="C3">
        <v>93</v>
      </c>
      <c r="D3">
        <v>0.25</v>
      </c>
      <c r="E3">
        <v>24.46</v>
      </c>
      <c r="F3" t="s">
        <v>12</v>
      </c>
      <c r="G3" t="s">
        <v>18</v>
      </c>
      <c r="H3">
        <f>IF(LEN(F3)=C3,1,0)</f>
        <v>1</v>
      </c>
      <c r="I3">
        <f t="shared" si="0"/>
        <v>1.2100000000000009</v>
      </c>
      <c r="J3">
        <v>93</v>
      </c>
      <c r="K3">
        <f t="shared" ref="K3:K66" si="1">IF(C3&gt;0,IF(C3&lt;J3,1,IF(C3=J3,0.5,0)),0)</f>
        <v>0.5</v>
      </c>
      <c r="L3" s="10">
        <f>AVERAGE('2'!C2:C1000)</f>
        <v>98.2</v>
      </c>
      <c r="M3" s="10">
        <f>AVERAGE('2'!D2:D1000)</f>
        <v>0.25</v>
      </c>
      <c r="N3" s="10">
        <f>AVERAGE('2'!E2:E1000)</f>
        <v>58.671998000000009</v>
      </c>
      <c r="O3" s="10">
        <f t="shared" ref="O3:O66" si="2">N3-(L3*M3)</f>
        <v>34.121998000000005</v>
      </c>
      <c r="P3" s="13">
        <f>'2'!H1-2</f>
        <v>5</v>
      </c>
      <c r="Q3" s="13">
        <f>'2'!P1-2</f>
        <v>0</v>
      </c>
    </row>
    <row r="4" spans="1:17" x14ac:dyDescent="0.3">
      <c r="A4">
        <v>3</v>
      </c>
      <c r="B4" t="s">
        <v>1</v>
      </c>
      <c r="C4">
        <v>121</v>
      </c>
      <c r="D4">
        <v>0.25</v>
      </c>
      <c r="E4">
        <v>41.44</v>
      </c>
      <c r="F4" t="s">
        <v>31</v>
      </c>
      <c r="G4" t="s">
        <v>18</v>
      </c>
      <c r="H4">
        <f t="shared" ref="H4:H22" si="3">IF(LEN(F4)=C4,1,0)</f>
        <v>1</v>
      </c>
      <c r="I4">
        <f t="shared" si="0"/>
        <v>11.189999999999998</v>
      </c>
      <c r="J4">
        <v>121</v>
      </c>
      <c r="K4">
        <f t="shared" si="1"/>
        <v>0.5</v>
      </c>
      <c r="L4" s="10">
        <f>AVERAGE('3'!C2:C1000)</f>
        <v>126.8</v>
      </c>
      <c r="M4" s="10">
        <f>AVERAGE('3'!D2:D1000)</f>
        <v>0.22000000000000003</v>
      </c>
      <c r="N4" s="10">
        <f>AVERAGE('3'!E2:E1000)</f>
        <v>101.783978</v>
      </c>
      <c r="O4" s="10">
        <f t="shared" si="2"/>
        <v>73.887978000000004</v>
      </c>
      <c r="P4" s="14">
        <f>'3'!H1-2</f>
        <v>5</v>
      </c>
      <c r="Q4" s="14">
        <f>'3'!P1-2</f>
        <v>1</v>
      </c>
    </row>
    <row r="5" spans="1:17" x14ac:dyDescent="0.3">
      <c r="A5">
        <v>4</v>
      </c>
      <c r="B5" t="s">
        <v>1</v>
      </c>
      <c r="C5">
        <v>33</v>
      </c>
      <c r="D5">
        <v>0.25</v>
      </c>
      <c r="E5">
        <v>9.2800060000000002</v>
      </c>
      <c r="F5" t="s">
        <v>32</v>
      </c>
      <c r="G5" t="s">
        <v>18</v>
      </c>
      <c r="H5">
        <f t="shared" si="3"/>
        <v>1</v>
      </c>
      <c r="I5">
        <f t="shared" si="0"/>
        <v>1.0300060000000002</v>
      </c>
      <c r="J5">
        <v>33</v>
      </c>
      <c r="K5">
        <f t="shared" si="1"/>
        <v>0.5</v>
      </c>
      <c r="L5" s="10">
        <f>AVERAGE('4'!C2:C1000)</f>
        <v>34</v>
      </c>
      <c r="M5" s="10">
        <f>AVERAGE('4'!D2:D1000)</f>
        <v>0.25</v>
      </c>
      <c r="N5" s="10">
        <f>AVERAGE('4'!E2:E1000)</f>
        <v>17.206673333333331</v>
      </c>
      <c r="O5" s="10">
        <f t="shared" si="2"/>
        <v>8.706673333333331</v>
      </c>
      <c r="P5">
        <f>'4'!H1-2</f>
        <v>3</v>
      </c>
      <c r="Q5">
        <f>'4'!P1-2</f>
        <v>1</v>
      </c>
    </row>
    <row r="6" spans="1:17" x14ac:dyDescent="0.3">
      <c r="A6">
        <v>5</v>
      </c>
      <c r="B6" t="s">
        <v>1</v>
      </c>
      <c r="C6">
        <v>50</v>
      </c>
      <c r="D6">
        <v>0.25</v>
      </c>
      <c r="E6">
        <v>13.18</v>
      </c>
      <c r="F6" t="s">
        <v>14</v>
      </c>
      <c r="G6" t="s">
        <v>18</v>
      </c>
      <c r="H6">
        <f t="shared" si="3"/>
        <v>1</v>
      </c>
      <c r="I6">
        <f t="shared" si="0"/>
        <v>0.67999999999999972</v>
      </c>
      <c r="J6">
        <v>50</v>
      </c>
      <c r="K6">
        <f t="shared" si="1"/>
        <v>0.5</v>
      </c>
      <c r="L6" s="10">
        <f>AVERAGE('5'!C2:C1000)</f>
        <v>52.5</v>
      </c>
      <c r="M6" s="10">
        <f>AVERAGE('5'!D2:D1000)</f>
        <v>0.25</v>
      </c>
      <c r="N6" s="10">
        <f>AVERAGE('5'!E2:E1000)</f>
        <v>32.175004999999999</v>
      </c>
      <c r="O6" s="10">
        <f t="shared" si="2"/>
        <v>19.050004999999999</v>
      </c>
      <c r="P6">
        <f>'5'!H1-2</f>
        <v>4</v>
      </c>
      <c r="Q6">
        <f>'5'!P1-2</f>
        <v>4</v>
      </c>
    </row>
    <row r="7" spans="1:17" x14ac:dyDescent="0.3">
      <c r="A7" s="14">
        <v>6</v>
      </c>
      <c r="B7" s="14" t="s">
        <v>1</v>
      </c>
      <c r="C7" s="14">
        <v>149</v>
      </c>
      <c r="D7" s="14">
        <v>0.25</v>
      </c>
      <c r="E7" s="14">
        <v>74.44</v>
      </c>
      <c r="F7" s="14" t="s">
        <v>320</v>
      </c>
      <c r="G7" s="14">
        <v>491</v>
      </c>
      <c r="H7">
        <f t="shared" si="3"/>
        <v>1</v>
      </c>
      <c r="I7">
        <f t="shared" si="0"/>
        <v>37.19</v>
      </c>
      <c r="J7">
        <v>137</v>
      </c>
      <c r="K7">
        <f t="shared" si="1"/>
        <v>0</v>
      </c>
      <c r="L7" s="10">
        <f>AVERAGE('6'!C2:C1000)</f>
        <v>173</v>
      </c>
      <c r="M7" s="10">
        <f>AVERAGE('6'!D2:D1000)</f>
        <v>0.25</v>
      </c>
      <c r="N7" s="10">
        <f>AVERAGE('6'!E2:E1000)</f>
        <v>81.239990000000006</v>
      </c>
      <c r="O7" s="10">
        <f t="shared" si="2"/>
        <v>37.989990000000006</v>
      </c>
      <c r="P7">
        <f>'6'!H1-2</f>
        <v>1</v>
      </c>
      <c r="Q7">
        <f>'6'!P1-2</f>
        <v>3</v>
      </c>
    </row>
    <row r="8" spans="1:17" x14ac:dyDescent="0.3">
      <c r="A8">
        <v>7</v>
      </c>
      <c r="B8" t="s">
        <v>1</v>
      </c>
      <c r="C8">
        <v>61</v>
      </c>
      <c r="D8">
        <v>0.25</v>
      </c>
      <c r="E8">
        <v>16.5</v>
      </c>
      <c r="F8" t="s">
        <v>13</v>
      </c>
      <c r="G8" t="s">
        <v>18</v>
      </c>
      <c r="H8">
        <f t="shared" si="3"/>
        <v>1</v>
      </c>
      <c r="I8">
        <f t="shared" si="0"/>
        <v>1.25</v>
      </c>
      <c r="J8">
        <v>61</v>
      </c>
      <c r="K8">
        <f t="shared" si="1"/>
        <v>0.5</v>
      </c>
      <c r="L8" s="10">
        <f>AVERAGE('7'!C2:C1000)</f>
        <v>77</v>
      </c>
      <c r="M8" s="10">
        <f>AVERAGE('7'!D2:D1000)</f>
        <v>0.25</v>
      </c>
      <c r="N8" s="10">
        <f>AVERAGE('7'!E2:E1000)</f>
        <v>55.369979999999998</v>
      </c>
      <c r="O8" s="10">
        <f t="shared" si="2"/>
        <v>36.119979999999998</v>
      </c>
      <c r="P8">
        <f>'7'!H1-2</f>
        <v>2</v>
      </c>
      <c r="Q8">
        <f>'7'!P1-2</f>
        <v>2</v>
      </c>
    </row>
    <row r="9" spans="1:17" x14ac:dyDescent="0.3">
      <c r="A9" s="14">
        <v>8</v>
      </c>
      <c r="B9" s="14" t="s">
        <v>1</v>
      </c>
      <c r="C9" s="14">
        <v>60</v>
      </c>
      <c r="D9" s="14">
        <v>0.25</v>
      </c>
      <c r="E9" s="14">
        <v>37.56</v>
      </c>
      <c r="F9" s="14" t="s">
        <v>333</v>
      </c>
      <c r="G9" s="14">
        <v>149072250</v>
      </c>
      <c r="H9">
        <f t="shared" si="3"/>
        <v>1</v>
      </c>
      <c r="I9">
        <f t="shared" si="0"/>
        <v>22.560000000000002</v>
      </c>
      <c r="J9">
        <v>60</v>
      </c>
      <c r="K9">
        <f t="shared" si="1"/>
        <v>0.5</v>
      </c>
      <c r="L9" s="10">
        <f>AVERAGE('8'!C2:C1000)</f>
        <v>69</v>
      </c>
      <c r="M9" s="10">
        <f>AVERAGE('8'!D2:D1000)</f>
        <v>0.25</v>
      </c>
      <c r="N9" s="10">
        <f>AVERAGE('8'!E2:E1000)</f>
        <v>31.089995000000002</v>
      </c>
      <c r="O9" s="10">
        <f t="shared" si="2"/>
        <v>13.839995000000002</v>
      </c>
      <c r="P9">
        <f>'8'!H1-2</f>
        <v>2</v>
      </c>
      <c r="Q9">
        <f>'8'!P1-2</f>
        <v>0</v>
      </c>
    </row>
    <row r="10" spans="1:17" x14ac:dyDescent="0.3">
      <c r="A10">
        <v>9</v>
      </c>
      <c r="B10" t="s">
        <v>1</v>
      </c>
      <c r="C10">
        <v>43</v>
      </c>
      <c r="D10">
        <v>0.25</v>
      </c>
      <c r="E10">
        <v>12.239990000000001</v>
      </c>
      <c r="F10">
        <v>2.2322214311422201E+42</v>
      </c>
      <c r="G10" t="s">
        <v>18</v>
      </c>
      <c r="H10">
        <f t="shared" si="3"/>
        <v>0</v>
      </c>
      <c r="I10">
        <f t="shared" si="0"/>
        <v>1.4899900000000006</v>
      </c>
      <c r="J10">
        <v>43</v>
      </c>
      <c r="K10">
        <f t="shared" si="1"/>
        <v>0.5</v>
      </c>
      <c r="L10" s="10">
        <f>AVERAGE('9'!C2:C1000)</f>
        <v>56</v>
      </c>
      <c r="M10" s="10">
        <f>AVERAGE('9'!D2:D1000)</f>
        <v>0.25</v>
      </c>
      <c r="N10" s="10">
        <f>AVERAGE('9'!E2:E1000)</f>
        <v>20.10004</v>
      </c>
      <c r="O10" s="10">
        <f t="shared" si="2"/>
        <v>6.1000399999999999</v>
      </c>
      <c r="P10">
        <f>'9'!H1-2</f>
        <v>1</v>
      </c>
      <c r="Q10">
        <f>'9'!P1-2</f>
        <v>0</v>
      </c>
    </row>
    <row r="11" spans="1:17" x14ac:dyDescent="0.3">
      <c r="A11">
        <v>10</v>
      </c>
      <c r="B11" t="s">
        <v>1</v>
      </c>
      <c r="C11">
        <v>40</v>
      </c>
      <c r="D11">
        <v>0.25</v>
      </c>
      <c r="E11">
        <v>10.299989999999999</v>
      </c>
      <c r="F11" t="s">
        <v>15</v>
      </c>
      <c r="G11" t="s">
        <v>18</v>
      </c>
      <c r="H11">
        <f t="shared" si="3"/>
        <v>1</v>
      </c>
      <c r="I11">
        <f t="shared" si="0"/>
        <v>0.29998999999999931</v>
      </c>
      <c r="J11">
        <v>33</v>
      </c>
      <c r="K11">
        <f t="shared" si="1"/>
        <v>0</v>
      </c>
      <c r="L11" s="10">
        <f>AVERAGE('10'!C2:C1000)</f>
        <v>42</v>
      </c>
      <c r="M11" s="10">
        <f>AVERAGE('10'!D2:D1000)</f>
        <v>0.25</v>
      </c>
      <c r="N11" s="10">
        <f>AVERAGE('10'!E2:E1000)</f>
        <v>17.959959999999999</v>
      </c>
      <c r="O11" s="10">
        <f t="shared" si="2"/>
        <v>7.4599599999999988</v>
      </c>
      <c r="P11">
        <f>'10'!H1-2</f>
        <v>1</v>
      </c>
      <c r="Q11">
        <f>'10'!P1-2</f>
        <v>0</v>
      </c>
    </row>
    <row r="12" spans="1:17" x14ac:dyDescent="0.3">
      <c r="A12" s="5">
        <v>11</v>
      </c>
      <c r="B12" s="5" t="s">
        <v>1</v>
      </c>
      <c r="C12" s="5">
        <v>49</v>
      </c>
      <c r="D12" s="5">
        <v>0.25</v>
      </c>
      <c r="E12" s="5">
        <v>24.92004</v>
      </c>
      <c r="F12" s="5" t="s">
        <v>80</v>
      </c>
      <c r="G12" s="5">
        <v>-1314316082</v>
      </c>
      <c r="H12">
        <f t="shared" si="3"/>
        <v>1</v>
      </c>
      <c r="I12">
        <f t="shared" si="0"/>
        <v>12.67004</v>
      </c>
      <c r="J12">
        <v>49</v>
      </c>
      <c r="K12">
        <f t="shared" si="1"/>
        <v>0.5</v>
      </c>
      <c r="L12" s="10">
        <f>AVERAGE('11'!C2:C1000)</f>
        <v>49</v>
      </c>
      <c r="M12" s="10">
        <f>AVERAGE('11'!D2:D1000)</f>
        <v>0.25</v>
      </c>
      <c r="N12" s="10">
        <f>AVERAGE('11'!E2:E1000)</f>
        <v>24.92004</v>
      </c>
      <c r="O12" s="10">
        <f t="shared" si="2"/>
        <v>12.67004</v>
      </c>
      <c r="P12">
        <f>'11'!H1-2</f>
        <v>1</v>
      </c>
      <c r="Q12">
        <f>'11'!P1-2</f>
        <v>0</v>
      </c>
    </row>
    <row r="13" spans="1:17" x14ac:dyDescent="0.3">
      <c r="A13">
        <v>12</v>
      </c>
      <c r="B13" t="s">
        <v>1</v>
      </c>
      <c r="C13">
        <v>60</v>
      </c>
      <c r="D13">
        <v>0.25</v>
      </c>
      <c r="E13">
        <v>17.920000000000002</v>
      </c>
      <c r="F13" t="s">
        <v>16</v>
      </c>
      <c r="G13" t="s">
        <v>18</v>
      </c>
      <c r="H13">
        <f t="shared" si="3"/>
        <v>1</v>
      </c>
      <c r="I13">
        <f t="shared" si="0"/>
        <v>2.9200000000000017</v>
      </c>
      <c r="J13">
        <v>58</v>
      </c>
      <c r="K13">
        <f t="shared" si="1"/>
        <v>0</v>
      </c>
      <c r="L13" s="10">
        <f>AVERAGE('12'!C2:C1000)</f>
        <v>61</v>
      </c>
      <c r="M13" s="10">
        <f>AVERAGE('12'!D2:D1000)</f>
        <v>0.25</v>
      </c>
      <c r="N13" s="10">
        <f>AVERAGE('12'!E2:E1000)</f>
        <v>28.900020000000001</v>
      </c>
      <c r="O13" s="10">
        <f t="shared" si="2"/>
        <v>13.650020000000001</v>
      </c>
      <c r="P13">
        <f>'12'!H1-2</f>
        <v>1</v>
      </c>
      <c r="Q13">
        <f>'12'!P1-2</f>
        <v>0</v>
      </c>
    </row>
    <row r="14" spans="1:17" x14ac:dyDescent="0.3">
      <c r="A14">
        <v>13</v>
      </c>
      <c r="B14" t="s">
        <v>1</v>
      </c>
      <c r="C14">
        <v>52</v>
      </c>
      <c r="D14">
        <v>0.25</v>
      </c>
      <c r="E14">
        <v>16.600010000000001</v>
      </c>
      <c r="F14" t="s">
        <v>17</v>
      </c>
      <c r="G14" t="s">
        <v>18</v>
      </c>
      <c r="H14">
        <f t="shared" si="3"/>
        <v>1</v>
      </c>
      <c r="I14">
        <f t="shared" si="0"/>
        <v>3.600010000000001</v>
      </c>
      <c r="J14">
        <v>52</v>
      </c>
      <c r="K14">
        <f t="shared" si="1"/>
        <v>0.5</v>
      </c>
      <c r="L14" s="10">
        <f>AVERAGE('13'!C2:C1000)</f>
        <v>80</v>
      </c>
      <c r="M14" s="10">
        <f>AVERAGE('13'!D2:D1000)</f>
        <v>0.25</v>
      </c>
      <c r="N14" s="10">
        <f>AVERAGE('13'!E2:E1000)</f>
        <v>40.059939999999997</v>
      </c>
      <c r="O14" s="10">
        <f t="shared" si="2"/>
        <v>20.059939999999997</v>
      </c>
      <c r="P14">
        <f>'13'!H1-2</f>
        <v>1</v>
      </c>
      <c r="Q14">
        <f>'13'!P1-2</f>
        <v>0</v>
      </c>
    </row>
    <row r="15" spans="1:17" x14ac:dyDescent="0.3">
      <c r="A15" s="14">
        <v>14</v>
      </c>
      <c r="B15" s="14" t="s">
        <v>1</v>
      </c>
      <c r="C15" s="14">
        <v>69</v>
      </c>
      <c r="D15" s="14">
        <v>0.25</v>
      </c>
      <c r="E15" s="37">
        <v>36.360109999999999</v>
      </c>
      <c r="F15" s="14" t="s">
        <v>350</v>
      </c>
      <c r="G15" s="14">
        <v>291</v>
      </c>
      <c r="H15">
        <f t="shared" si="3"/>
        <v>1</v>
      </c>
      <c r="I15">
        <f t="shared" si="0"/>
        <v>19.110109999999999</v>
      </c>
      <c r="J15">
        <v>69</v>
      </c>
      <c r="K15">
        <f t="shared" si="1"/>
        <v>0.5</v>
      </c>
      <c r="L15" s="10">
        <f>AVERAGE('14'!C2:C1000)</f>
        <v>105</v>
      </c>
      <c r="M15" s="10">
        <f>AVERAGE('14'!D2:D1000)</f>
        <v>0.25</v>
      </c>
      <c r="N15" s="10">
        <f>AVERAGE('14'!E2:E1000)</f>
        <v>90.660030000000006</v>
      </c>
      <c r="O15" s="10">
        <f t="shared" si="2"/>
        <v>64.410030000000006</v>
      </c>
      <c r="P15">
        <f>'14'!H1-2</f>
        <v>1</v>
      </c>
      <c r="Q15">
        <f>'14'!P1-2</f>
        <v>0</v>
      </c>
    </row>
    <row r="16" spans="1:17" x14ac:dyDescent="0.3">
      <c r="A16" s="14">
        <v>15</v>
      </c>
      <c r="B16" s="14" t="s">
        <v>1</v>
      </c>
      <c r="C16" s="14">
        <v>61</v>
      </c>
      <c r="D16" s="14">
        <v>0.25</v>
      </c>
      <c r="E16" s="37">
        <v>28.29993</v>
      </c>
      <c r="F16" s="14" t="s">
        <v>351</v>
      </c>
      <c r="G16" s="14">
        <v>102951957</v>
      </c>
      <c r="H16">
        <f t="shared" si="3"/>
        <v>1</v>
      </c>
      <c r="I16">
        <f t="shared" si="0"/>
        <v>13.04993</v>
      </c>
      <c r="J16">
        <v>61</v>
      </c>
      <c r="K16">
        <f t="shared" si="1"/>
        <v>0.5</v>
      </c>
      <c r="L16" s="10">
        <f>AVERAGE('15'!C2:C1000)</f>
        <v>63</v>
      </c>
      <c r="M16" s="10">
        <f>AVERAGE('15'!D2:D1000)</f>
        <v>0.25</v>
      </c>
      <c r="N16" s="10">
        <f>AVERAGE('15'!E2:E1000)</f>
        <v>39.199950000000001</v>
      </c>
      <c r="O16" s="10">
        <f t="shared" si="2"/>
        <v>23.449950000000001</v>
      </c>
      <c r="P16">
        <f>'15'!H1-2</f>
        <v>1</v>
      </c>
      <c r="Q16">
        <f>'15'!P1-2</f>
        <v>0</v>
      </c>
    </row>
    <row r="17" spans="1:17" x14ac:dyDescent="0.3">
      <c r="A17">
        <v>16</v>
      </c>
      <c r="B17" t="s">
        <v>1</v>
      </c>
      <c r="C17">
        <v>55</v>
      </c>
      <c r="D17">
        <v>0.25</v>
      </c>
      <c r="E17">
        <v>27.599979999999999</v>
      </c>
      <c r="F17" t="s">
        <v>93</v>
      </c>
      <c r="G17">
        <v>1174271504</v>
      </c>
      <c r="H17">
        <f t="shared" si="3"/>
        <v>1</v>
      </c>
      <c r="I17">
        <f t="shared" si="0"/>
        <v>13.849979999999999</v>
      </c>
      <c r="J17">
        <v>55</v>
      </c>
      <c r="K17">
        <f t="shared" si="1"/>
        <v>0.5</v>
      </c>
      <c r="L17" s="10">
        <f>AVERAGE('16'!C2:C1000)</f>
        <v>55</v>
      </c>
      <c r="M17" s="10">
        <f>AVERAGE('16'!D2:D1000)</f>
        <v>0.25</v>
      </c>
      <c r="N17" s="10">
        <f>AVERAGE('16'!E2:E1000)</f>
        <v>27.599979999999999</v>
      </c>
      <c r="O17" s="10">
        <f t="shared" si="2"/>
        <v>13.849979999999999</v>
      </c>
      <c r="P17">
        <f>'16'!H1-2</f>
        <v>1</v>
      </c>
      <c r="Q17">
        <f>'16'!P1-2</f>
        <v>0</v>
      </c>
    </row>
    <row r="18" spans="1:17" x14ac:dyDescent="0.3">
      <c r="A18" s="14">
        <v>17</v>
      </c>
      <c r="B18" s="14" t="s">
        <v>1</v>
      </c>
      <c r="C18" s="14">
        <v>53</v>
      </c>
      <c r="D18" s="14">
        <v>0.25</v>
      </c>
      <c r="E18" s="37">
        <v>28.93994</v>
      </c>
      <c r="F18" s="14" t="s">
        <v>369</v>
      </c>
      <c r="G18" s="14">
        <v>39131787</v>
      </c>
      <c r="H18">
        <f t="shared" si="3"/>
        <v>1</v>
      </c>
      <c r="I18">
        <f t="shared" si="0"/>
        <v>15.68994</v>
      </c>
      <c r="J18">
        <v>47</v>
      </c>
      <c r="K18">
        <f t="shared" si="1"/>
        <v>0</v>
      </c>
      <c r="L18" s="10">
        <f>AVERAGE('17'!C2:C1000)</f>
        <v>57</v>
      </c>
      <c r="M18" s="10">
        <f>AVERAGE('17'!D2:D1000)</f>
        <v>0.25</v>
      </c>
      <c r="N18" s="10">
        <f>AVERAGE('17'!E2:E1000)</f>
        <v>32.440060000000003</v>
      </c>
      <c r="O18" s="10">
        <f t="shared" si="2"/>
        <v>18.190060000000003</v>
      </c>
      <c r="P18">
        <f>'17'!H1-2</f>
        <v>1</v>
      </c>
      <c r="Q18">
        <f>'17'!P1-2</f>
        <v>0</v>
      </c>
    </row>
    <row r="19" spans="1:17" x14ac:dyDescent="0.3">
      <c r="A19" s="14">
        <v>18</v>
      </c>
      <c r="B19" s="14" t="s">
        <v>1</v>
      </c>
      <c r="C19" s="14">
        <v>40</v>
      </c>
      <c r="D19" s="14">
        <v>0.25</v>
      </c>
      <c r="E19" s="37">
        <v>14.739990000000001</v>
      </c>
      <c r="F19" s="14" t="s">
        <v>100</v>
      </c>
      <c r="G19" s="14">
        <v>176678623</v>
      </c>
      <c r="H19">
        <f t="shared" si="3"/>
        <v>1</v>
      </c>
      <c r="I19">
        <f t="shared" si="0"/>
        <v>4.7399900000000006</v>
      </c>
      <c r="J19">
        <v>40</v>
      </c>
      <c r="K19">
        <f t="shared" si="1"/>
        <v>0.5</v>
      </c>
      <c r="L19" s="10">
        <f>AVERAGE('18'!C2:C1000)</f>
        <v>40</v>
      </c>
      <c r="M19" s="10">
        <f>AVERAGE('18'!D2:D1000)</f>
        <v>0.25</v>
      </c>
      <c r="N19" s="10">
        <f>AVERAGE('18'!E2:E1000)</f>
        <v>39.820070000000001</v>
      </c>
      <c r="O19" s="10">
        <f t="shared" si="2"/>
        <v>29.820070000000001</v>
      </c>
      <c r="P19">
        <f>'18'!H1-2</f>
        <v>1</v>
      </c>
      <c r="Q19">
        <f>'18'!P1-2</f>
        <v>0</v>
      </c>
    </row>
    <row r="20" spans="1:17" x14ac:dyDescent="0.3">
      <c r="A20">
        <v>19</v>
      </c>
      <c r="B20" t="s">
        <v>1</v>
      </c>
      <c r="C20">
        <v>54</v>
      </c>
      <c r="D20">
        <v>0.25</v>
      </c>
      <c r="E20">
        <v>33.06006</v>
      </c>
      <c r="F20" t="s">
        <v>104</v>
      </c>
      <c r="G20">
        <v>609267190</v>
      </c>
      <c r="H20">
        <f t="shared" si="3"/>
        <v>1</v>
      </c>
      <c r="I20">
        <f t="shared" si="0"/>
        <v>19.56006</v>
      </c>
      <c r="J20">
        <v>48</v>
      </c>
      <c r="K20">
        <f t="shared" si="1"/>
        <v>0</v>
      </c>
      <c r="L20" s="10">
        <f>AVERAGE('19'!C2:C1000)</f>
        <v>54</v>
      </c>
      <c r="M20" s="10">
        <f>AVERAGE('19'!D2:D1000)</f>
        <v>0.25</v>
      </c>
      <c r="N20" s="10">
        <f>AVERAGE('19'!E2:E1000)</f>
        <v>33.06006</v>
      </c>
      <c r="O20" s="10">
        <f t="shared" si="2"/>
        <v>19.56006</v>
      </c>
      <c r="P20">
        <f>'19'!H1-2</f>
        <v>1</v>
      </c>
      <c r="Q20">
        <f>'19'!P1-2</f>
        <v>0</v>
      </c>
    </row>
    <row r="21" spans="1:17" x14ac:dyDescent="0.3">
      <c r="A21" s="14">
        <v>20</v>
      </c>
      <c r="B21" s="14" t="s">
        <v>1</v>
      </c>
      <c r="C21" s="14">
        <v>56</v>
      </c>
      <c r="D21" s="14">
        <v>0.25</v>
      </c>
      <c r="E21" s="37">
        <v>32.600099999999998</v>
      </c>
      <c r="F21" s="14" t="s">
        <v>388</v>
      </c>
      <c r="G21" s="14">
        <v>148727277</v>
      </c>
      <c r="H21">
        <f t="shared" si="3"/>
        <v>1</v>
      </c>
      <c r="I21">
        <f t="shared" si="0"/>
        <v>18.600099999999998</v>
      </c>
      <c r="J21">
        <v>52</v>
      </c>
      <c r="K21">
        <f t="shared" si="1"/>
        <v>0</v>
      </c>
      <c r="L21" s="9">
        <f>AVERAGE('20'!C2:C1000)</f>
        <v>70</v>
      </c>
      <c r="M21" s="9">
        <f>AVERAGE('20'!D2:D1000)</f>
        <v>0.25</v>
      </c>
      <c r="N21" s="9">
        <f>AVERAGE('20'!E2:E1000)</f>
        <v>35.139890000000001</v>
      </c>
      <c r="O21" s="10">
        <f t="shared" si="2"/>
        <v>17.639890000000001</v>
      </c>
      <c r="P21">
        <f>'20'!H1-2</f>
        <v>1</v>
      </c>
      <c r="Q21">
        <f>'20'!P1-2</f>
        <v>18</v>
      </c>
    </row>
    <row r="22" spans="1:17" x14ac:dyDescent="0.3">
      <c r="A22" s="14">
        <v>21</v>
      </c>
      <c r="B22" s="14" t="s">
        <v>1</v>
      </c>
      <c r="C22" s="14">
        <v>53</v>
      </c>
      <c r="D22" s="14">
        <v>0.25</v>
      </c>
      <c r="E22" s="37">
        <v>24.81982</v>
      </c>
      <c r="F22" s="14" t="s">
        <v>390</v>
      </c>
      <c r="G22" s="14">
        <v>3900719</v>
      </c>
      <c r="H22">
        <f t="shared" si="3"/>
        <v>1</v>
      </c>
      <c r="I22">
        <f t="shared" si="0"/>
        <v>11.56982</v>
      </c>
      <c r="J22">
        <v>44</v>
      </c>
      <c r="K22">
        <f t="shared" si="1"/>
        <v>0</v>
      </c>
      <c r="L22" s="9">
        <f>AVERAGE('21'!C2:C1000)</f>
        <v>56</v>
      </c>
      <c r="M22" s="9">
        <f>AVERAGE('21'!D2:D1000)</f>
        <v>0.25</v>
      </c>
      <c r="N22" s="9">
        <f>AVERAGE('21'!E2:E1000)</f>
        <v>22.260010000000001</v>
      </c>
      <c r="O22" s="10">
        <f t="shared" si="2"/>
        <v>8.2600100000000012</v>
      </c>
      <c r="P22">
        <f>'21'!H1-2</f>
        <v>1</v>
      </c>
      <c r="Q22">
        <f>'21'!P1-2</f>
        <v>9</v>
      </c>
    </row>
    <row r="23" spans="1:17" x14ac:dyDescent="0.3">
      <c r="A23">
        <v>22</v>
      </c>
      <c r="B23" t="s">
        <v>1</v>
      </c>
      <c r="C23">
        <v>132</v>
      </c>
      <c r="D23">
        <v>0.25</v>
      </c>
      <c r="E23">
        <v>102.78</v>
      </c>
      <c r="F23" t="s">
        <v>111</v>
      </c>
      <c r="G23">
        <v>-787119312</v>
      </c>
      <c r="H23">
        <f t="shared" ref="H23:H50" si="4">IF(LEN(F23)=C23,1,0)</f>
        <v>1</v>
      </c>
      <c r="I23">
        <f t="shared" si="0"/>
        <v>69.78</v>
      </c>
      <c r="J23">
        <v>82</v>
      </c>
      <c r="K23">
        <f t="shared" si="1"/>
        <v>0</v>
      </c>
      <c r="L23" s="9">
        <f>AVERAGE('22'!C2:C1000)</f>
        <v>132</v>
      </c>
      <c r="M23" s="9">
        <f>AVERAGE('22'!D2:D1000)</f>
        <v>0.25</v>
      </c>
      <c r="N23" s="9">
        <f>AVERAGE('22'!E2:E1000)</f>
        <v>102.78</v>
      </c>
      <c r="O23" s="10">
        <f t="shared" si="2"/>
        <v>69.78</v>
      </c>
      <c r="P23">
        <f>'22'!H1-2</f>
        <v>1</v>
      </c>
      <c r="Q23">
        <f>'22'!P1-2</f>
        <v>0</v>
      </c>
    </row>
    <row r="24" spans="1:17" x14ac:dyDescent="0.3">
      <c r="A24" s="19">
        <v>23</v>
      </c>
      <c r="B24" s="19" t="s">
        <v>1</v>
      </c>
      <c r="C24" s="19">
        <v>84</v>
      </c>
      <c r="D24" s="19">
        <v>0.25</v>
      </c>
      <c r="E24" s="19">
        <v>52.22</v>
      </c>
      <c r="F24" s="19" t="s">
        <v>219</v>
      </c>
      <c r="G24" s="19">
        <v>244440321</v>
      </c>
      <c r="H24">
        <f t="shared" si="4"/>
        <v>1</v>
      </c>
      <c r="I24">
        <f t="shared" si="0"/>
        <v>31.22</v>
      </c>
      <c r="J24">
        <v>78</v>
      </c>
      <c r="K24">
        <f t="shared" si="1"/>
        <v>0</v>
      </c>
      <c r="L24" s="9">
        <f>AVERAGE('23'!C2:C1000)</f>
        <v>84</v>
      </c>
      <c r="M24" s="9">
        <f>AVERAGE('23'!D2:D1000)</f>
        <v>0.25</v>
      </c>
      <c r="N24" s="9">
        <f>AVERAGE('23'!E2:E1000)</f>
        <v>52.22</v>
      </c>
      <c r="O24" s="10">
        <f t="shared" si="2"/>
        <v>31.22</v>
      </c>
      <c r="P24">
        <f>'23'!H1-2</f>
        <v>1</v>
      </c>
      <c r="Q24">
        <f>'23'!P1-2</f>
        <v>1</v>
      </c>
    </row>
    <row r="25" spans="1:17" x14ac:dyDescent="0.3">
      <c r="A25" s="19">
        <v>24</v>
      </c>
      <c r="B25" s="19" t="s">
        <v>1</v>
      </c>
      <c r="C25" s="19">
        <v>183</v>
      </c>
      <c r="D25" s="19">
        <v>0.25</v>
      </c>
      <c r="E25" s="19">
        <v>83.06</v>
      </c>
      <c r="F25" s="19" t="s">
        <v>220</v>
      </c>
      <c r="G25" s="19">
        <v>565</v>
      </c>
      <c r="H25">
        <f t="shared" si="4"/>
        <v>1</v>
      </c>
      <c r="I25">
        <f t="shared" si="0"/>
        <v>37.31</v>
      </c>
      <c r="J25">
        <v>183</v>
      </c>
      <c r="K25">
        <f t="shared" si="1"/>
        <v>0.5</v>
      </c>
      <c r="L25" s="9">
        <f>AVERAGE('24'!C2:C1000)</f>
        <v>183</v>
      </c>
      <c r="M25" s="9">
        <f>AVERAGE('24'!D2:D1000)</f>
        <v>0.25</v>
      </c>
      <c r="N25" s="9">
        <f>AVERAGE('24'!E2:E1000)</f>
        <v>83.06</v>
      </c>
      <c r="O25" s="10">
        <f t="shared" si="2"/>
        <v>37.31</v>
      </c>
      <c r="P25">
        <f>'24'!H1-2</f>
        <v>1</v>
      </c>
      <c r="Q25">
        <f>'24'!P1-2</f>
        <v>0</v>
      </c>
    </row>
    <row r="26" spans="1:17" x14ac:dyDescent="0.3">
      <c r="A26" s="19">
        <v>25</v>
      </c>
      <c r="B26" s="19" t="s">
        <v>1</v>
      </c>
      <c r="C26" s="19">
        <v>100</v>
      </c>
      <c r="D26" s="19">
        <v>0.25</v>
      </c>
      <c r="E26" s="19">
        <v>40.340000000000003</v>
      </c>
      <c r="F26" s="19" t="s">
        <v>221</v>
      </c>
      <c r="G26" s="19">
        <v>334</v>
      </c>
      <c r="H26">
        <f t="shared" si="4"/>
        <v>1</v>
      </c>
      <c r="I26">
        <f t="shared" si="0"/>
        <v>15.340000000000003</v>
      </c>
      <c r="J26">
        <v>88</v>
      </c>
      <c r="K26">
        <f t="shared" si="1"/>
        <v>0</v>
      </c>
      <c r="L26" s="9">
        <f>AVERAGE('25'!C2:C1000)</f>
        <v>100</v>
      </c>
      <c r="M26" s="9">
        <f>AVERAGE('25'!D2:D1000)</f>
        <v>0.25</v>
      </c>
      <c r="N26" s="9">
        <f>AVERAGE('25'!E2:E1000)</f>
        <v>40.340000000000003</v>
      </c>
      <c r="O26" s="10">
        <f t="shared" si="2"/>
        <v>15.340000000000003</v>
      </c>
      <c r="P26">
        <f>'25'!H1-2</f>
        <v>1</v>
      </c>
      <c r="Q26">
        <f>'25'!P1-2</f>
        <v>0</v>
      </c>
    </row>
    <row r="27" spans="1:17" x14ac:dyDescent="0.3">
      <c r="A27" s="19">
        <v>26</v>
      </c>
      <c r="B27" s="19" t="s">
        <v>1</v>
      </c>
      <c r="C27" s="19">
        <v>142</v>
      </c>
      <c r="D27" s="19">
        <v>0.25</v>
      </c>
      <c r="E27" s="19">
        <v>47.57996</v>
      </c>
      <c r="F27" s="19" t="s">
        <v>224</v>
      </c>
      <c r="G27" s="19">
        <v>515</v>
      </c>
      <c r="H27">
        <f t="shared" si="4"/>
        <v>1</v>
      </c>
      <c r="I27">
        <f t="shared" si="0"/>
        <v>12.07996</v>
      </c>
      <c r="J27">
        <v>142</v>
      </c>
      <c r="K27">
        <f t="shared" si="1"/>
        <v>0.5</v>
      </c>
      <c r="L27" s="9">
        <f>AVERAGE('26'!C2:C1000)</f>
        <v>142</v>
      </c>
      <c r="M27" s="9">
        <f>AVERAGE('26'!D2:D1000)</f>
        <v>0.25</v>
      </c>
      <c r="N27" s="9">
        <f>AVERAGE('26'!E2:E1000)</f>
        <v>47.57996</v>
      </c>
      <c r="O27" s="10">
        <f t="shared" si="2"/>
        <v>12.07996</v>
      </c>
      <c r="P27">
        <f>'26'!H1-2</f>
        <v>1</v>
      </c>
      <c r="Q27">
        <f>'26'!P1-2</f>
        <v>2</v>
      </c>
    </row>
    <row r="28" spans="1:17" x14ac:dyDescent="0.3">
      <c r="A28" s="19">
        <v>27</v>
      </c>
      <c r="B28" s="19" t="s">
        <v>1</v>
      </c>
      <c r="C28" s="19">
        <v>81</v>
      </c>
      <c r="D28" s="19">
        <v>0.25</v>
      </c>
      <c r="E28" s="19">
        <v>45.5</v>
      </c>
      <c r="F28" s="19" t="s">
        <v>225</v>
      </c>
      <c r="G28" s="19">
        <v>192760314</v>
      </c>
      <c r="H28">
        <f t="shared" si="4"/>
        <v>1</v>
      </c>
      <c r="I28">
        <f t="shared" si="0"/>
        <v>25.25</v>
      </c>
      <c r="J28">
        <v>81</v>
      </c>
      <c r="K28">
        <f t="shared" si="1"/>
        <v>0.5</v>
      </c>
      <c r="L28" s="9">
        <f>AVERAGE('27'!C2:C1000)</f>
        <v>81</v>
      </c>
      <c r="M28" s="9">
        <f>AVERAGE('27'!D2:D1000)</f>
        <v>0.25</v>
      </c>
      <c r="N28" s="9">
        <f>AVERAGE('27'!E2:E1000)</f>
        <v>45.5</v>
      </c>
      <c r="O28" s="10">
        <f t="shared" si="2"/>
        <v>25.25</v>
      </c>
      <c r="P28">
        <f>'27'!H1-2</f>
        <v>1</v>
      </c>
      <c r="Q28">
        <f>'27'!P1-2</f>
        <v>0</v>
      </c>
    </row>
    <row r="29" spans="1:17" x14ac:dyDescent="0.3">
      <c r="G29" t="s">
        <v>18</v>
      </c>
      <c r="H29">
        <f t="shared" si="4"/>
        <v>1</v>
      </c>
      <c r="I29">
        <f t="shared" si="0"/>
        <v>0</v>
      </c>
      <c r="J29">
        <v>125</v>
      </c>
      <c r="K29">
        <f t="shared" si="1"/>
        <v>0</v>
      </c>
      <c r="L29" s="9" t="e">
        <f>AVERAGE('28'!C2:C1000)</f>
        <v>#DIV/0!</v>
      </c>
      <c r="M29" s="9" t="e">
        <f>AVERAGE('28'!D2:D1000)</f>
        <v>#DIV/0!</v>
      </c>
      <c r="N29" s="9" t="e">
        <f>AVERAGE('28'!E2:E1000)</f>
        <v>#DIV/0!</v>
      </c>
      <c r="O29" s="10" t="e">
        <f t="shared" si="2"/>
        <v>#DIV/0!</v>
      </c>
      <c r="P29">
        <f>'28'!H1-2</f>
        <v>0</v>
      </c>
      <c r="Q29">
        <f>'28'!P1-2</f>
        <v>1</v>
      </c>
    </row>
    <row r="30" spans="1:17" x14ac:dyDescent="0.3">
      <c r="A30" s="19">
        <v>29</v>
      </c>
      <c r="B30" s="19" t="s">
        <v>1</v>
      </c>
      <c r="C30" s="19">
        <v>110</v>
      </c>
      <c r="D30" s="19">
        <v>0.25</v>
      </c>
      <c r="E30" s="19">
        <v>60.620010000000001</v>
      </c>
      <c r="F30" s="19" t="s">
        <v>227</v>
      </c>
      <c r="G30" s="19">
        <v>364</v>
      </c>
      <c r="H30">
        <f t="shared" si="4"/>
        <v>1</v>
      </c>
      <c r="I30">
        <f t="shared" si="0"/>
        <v>33.120010000000001</v>
      </c>
      <c r="J30">
        <v>102</v>
      </c>
      <c r="K30">
        <f t="shared" si="1"/>
        <v>0</v>
      </c>
      <c r="L30" s="9">
        <f>AVERAGE('29'!C2:C1000)</f>
        <v>110</v>
      </c>
      <c r="M30" s="9">
        <f>AVERAGE('29'!D2:D1000)</f>
        <v>0.25</v>
      </c>
      <c r="N30" s="9">
        <f>AVERAGE('29'!E2:E1000)</f>
        <v>60.620010000000001</v>
      </c>
      <c r="O30" s="10">
        <f t="shared" si="2"/>
        <v>33.120010000000001</v>
      </c>
      <c r="P30">
        <f>'29'!H1-2</f>
        <v>1</v>
      </c>
      <c r="Q30">
        <f>'29'!P1-2</f>
        <v>0</v>
      </c>
    </row>
    <row r="31" spans="1:17" x14ac:dyDescent="0.3">
      <c r="A31" s="19">
        <v>30</v>
      </c>
      <c r="B31" s="19" t="s">
        <v>1</v>
      </c>
      <c r="C31" s="19">
        <v>40</v>
      </c>
      <c r="D31" s="19">
        <v>0.25</v>
      </c>
      <c r="E31" s="19">
        <v>12.28</v>
      </c>
      <c r="F31" s="19" t="s">
        <v>100</v>
      </c>
      <c r="G31" s="19">
        <v>42240188</v>
      </c>
      <c r="H31">
        <f t="shared" si="4"/>
        <v>1</v>
      </c>
      <c r="I31">
        <f t="shared" si="0"/>
        <v>2.2799999999999994</v>
      </c>
      <c r="J31">
        <v>40</v>
      </c>
      <c r="K31">
        <f t="shared" si="1"/>
        <v>0.5</v>
      </c>
      <c r="L31" s="9">
        <f>AVERAGE('30'!C2:C1000)</f>
        <v>40</v>
      </c>
      <c r="M31" s="9">
        <f>AVERAGE('30'!D2:D1000)</f>
        <v>0.25</v>
      </c>
      <c r="N31" s="9">
        <f>AVERAGE('30'!E2:E1000)</f>
        <v>12.680003333333334</v>
      </c>
      <c r="O31" s="10">
        <f t="shared" si="2"/>
        <v>2.6800033333333335</v>
      </c>
      <c r="P31">
        <f>'30'!H1-2</f>
        <v>3</v>
      </c>
      <c r="Q31">
        <f>'30'!P1-2</f>
        <v>0</v>
      </c>
    </row>
    <row r="32" spans="1:17" x14ac:dyDescent="0.3">
      <c r="A32">
        <v>31</v>
      </c>
      <c r="B32" t="s">
        <v>1</v>
      </c>
      <c r="C32">
        <v>24</v>
      </c>
      <c r="D32">
        <v>0.25</v>
      </c>
      <c r="E32">
        <v>6.4399949999999997</v>
      </c>
      <c r="F32" s="4" t="s">
        <v>25</v>
      </c>
      <c r="G32" t="s">
        <v>18</v>
      </c>
      <c r="H32">
        <f t="shared" si="4"/>
        <v>1</v>
      </c>
      <c r="I32">
        <f t="shared" si="0"/>
        <v>0.43999499999999969</v>
      </c>
      <c r="J32">
        <v>24</v>
      </c>
      <c r="K32">
        <f t="shared" si="1"/>
        <v>0.5</v>
      </c>
      <c r="L32" s="9">
        <f>AVERAGE('31'!C2:C1000)</f>
        <v>31.5</v>
      </c>
      <c r="M32" s="9">
        <f>AVERAGE('31'!D2:D1000)</f>
        <v>0.25</v>
      </c>
      <c r="N32" s="9">
        <f>AVERAGE('31'!E2:E1000)</f>
        <v>11.839997500000001</v>
      </c>
      <c r="O32" s="10">
        <f t="shared" si="2"/>
        <v>3.9649975000000008</v>
      </c>
      <c r="P32">
        <f>'31'!H1-2</f>
        <v>4</v>
      </c>
      <c r="Q32">
        <f>'31'!P1-2</f>
        <v>3</v>
      </c>
    </row>
    <row r="33" spans="1:17" x14ac:dyDescent="0.3">
      <c r="A33">
        <v>32</v>
      </c>
      <c r="B33" t="s">
        <v>1</v>
      </c>
      <c r="C33">
        <v>32</v>
      </c>
      <c r="D33">
        <v>0.25</v>
      </c>
      <c r="E33">
        <v>8.9399949999999997</v>
      </c>
      <c r="F33" t="s">
        <v>24</v>
      </c>
      <c r="G33" t="s">
        <v>18</v>
      </c>
      <c r="H33">
        <f t="shared" si="4"/>
        <v>1</v>
      </c>
      <c r="I33">
        <f t="shared" si="0"/>
        <v>0.93999499999999969</v>
      </c>
      <c r="J33">
        <v>32</v>
      </c>
      <c r="K33">
        <f t="shared" si="1"/>
        <v>0.5</v>
      </c>
      <c r="L33" s="9">
        <f>AVERAGE('32'!C2:C1000)</f>
        <v>32</v>
      </c>
      <c r="M33" s="9">
        <f>AVERAGE('32'!D2:D1000)</f>
        <v>0.25</v>
      </c>
      <c r="N33" s="9">
        <f>AVERAGE('32'!E2:E1000)</f>
        <v>10.83</v>
      </c>
      <c r="O33" s="10">
        <f t="shared" si="2"/>
        <v>2.83</v>
      </c>
      <c r="P33">
        <f>'32'!H1-2</f>
        <v>2</v>
      </c>
      <c r="Q33">
        <f>'32'!P1-2</f>
        <v>1</v>
      </c>
    </row>
    <row r="34" spans="1:17" x14ac:dyDescent="0.3">
      <c r="A34">
        <v>33</v>
      </c>
      <c r="B34" t="s">
        <v>1</v>
      </c>
      <c r="C34">
        <v>39</v>
      </c>
      <c r="D34">
        <v>0.25</v>
      </c>
      <c r="E34">
        <v>11.319990000000001</v>
      </c>
      <c r="F34">
        <v>1.4144234223134401E+38</v>
      </c>
      <c r="G34" t="s">
        <v>18</v>
      </c>
      <c r="H34">
        <f t="shared" si="4"/>
        <v>0</v>
      </c>
      <c r="I34">
        <f t="shared" ref="I34:I51" si="5">E34-(D34*C34)</f>
        <v>1.5699900000000007</v>
      </c>
      <c r="J34">
        <v>39</v>
      </c>
      <c r="K34">
        <f t="shared" si="1"/>
        <v>0.5</v>
      </c>
      <c r="L34" s="9">
        <f>AVERAGE('33'!C2:C1000)</f>
        <v>39</v>
      </c>
      <c r="M34" s="9">
        <f>AVERAGE('33'!D2:D1000)</f>
        <v>0.25</v>
      </c>
      <c r="N34" s="9">
        <f>AVERAGE('33'!E2:E1000)</f>
        <v>15.94</v>
      </c>
      <c r="O34" s="10">
        <f t="shared" si="2"/>
        <v>6.1899999999999995</v>
      </c>
      <c r="P34">
        <f>'33'!H1-2</f>
        <v>1</v>
      </c>
      <c r="Q34">
        <f>'33'!P1-2</f>
        <v>0</v>
      </c>
    </row>
    <row r="35" spans="1:17" x14ac:dyDescent="0.3">
      <c r="A35" s="18">
        <v>34</v>
      </c>
      <c r="B35" s="18" t="s">
        <v>1</v>
      </c>
      <c r="C35" s="18">
        <v>94</v>
      </c>
      <c r="D35" s="18">
        <v>0.25</v>
      </c>
      <c r="E35" s="18">
        <v>41.679989999999997</v>
      </c>
      <c r="F35" s="18" t="s">
        <v>244</v>
      </c>
      <c r="G35" s="18">
        <v>73800373</v>
      </c>
      <c r="H35">
        <f t="shared" si="4"/>
        <v>1</v>
      </c>
      <c r="I35">
        <f t="shared" si="5"/>
        <v>18.179989999999997</v>
      </c>
      <c r="J35">
        <v>92</v>
      </c>
      <c r="K35">
        <f t="shared" si="1"/>
        <v>0</v>
      </c>
      <c r="L35" s="9">
        <f>AVERAGE('34'!C2:C1000)</f>
        <v>94</v>
      </c>
      <c r="M35" s="9">
        <f>AVERAGE('34'!D2:D1000)</f>
        <v>0.25</v>
      </c>
      <c r="N35" s="9">
        <f>AVERAGE('34'!E2:E1000)</f>
        <v>41.679989999999997</v>
      </c>
      <c r="O35" s="10">
        <f t="shared" si="2"/>
        <v>18.179989999999997</v>
      </c>
      <c r="P35">
        <f>'34'!H1-2</f>
        <v>1</v>
      </c>
      <c r="Q35">
        <f>'34'!P1-2</f>
        <v>1</v>
      </c>
    </row>
    <row r="36" spans="1:17" x14ac:dyDescent="0.3">
      <c r="A36">
        <v>35</v>
      </c>
      <c r="B36" t="s">
        <v>1</v>
      </c>
      <c r="C36">
        <v>76</v>
      </c>
      <c r="D36">
        <v>0.25</v>
      </c>
      <c r="E36">
        <v>22.3</v>
      </c>
      <c r="F36">
        <v>4.2224232314111102E+75</v>
      </c>
      <c r="G36" t="s">
        <v>18</v>
      </c>
      <c r="H36">
        <f t="shared" si="4"/>
        <v>0</v>
      </c>
      <c r="I36">
        <f t="shared" si="5"/>
        <v>3.3000000000000007</v>
      </c>
      <c r="J36">
        <v>76</v>
      </c>
      <c r="K36">
        <f t="shared" si="1"/>
        <v>0.5</v>
      </c>
      <c r="L36" s="9">
        <f>AVERAGE('35'!C2:C1000)</f>
        <v>80</v>
      </c>
      <c r="M36" s="9">
        <f>AVERAGE('35'!D2:D1000)</f>
        <v>0.25</v>
      </c>
      <c r="N36" s="9">
        <f>AVERAGE('35'!E2:E1000)</f>
        <v>31.139969999999998</v>
      </c>
      <c r="O36" s="10">
        <f t="shared" si="2"/>
        <v>11.139969999999998</v>
      </c>
      <c r="P36">
        <f>'35'!H1-2</f>
        <v>2</v>
      </c>
      <c r="Q36">
        <f>'35'!P1-2</f>
        <v>0</v>
      </c>
    </row>
    <row r="37" spans="1:17" x14ac:dyDescent="0.3">
      <c r="A37">
        <v>36</v>
      </c>
      <c r="B37" t="s">
        <v>1</v>
      </c>
      <c r="C37">
        <v>29</v>
      </c>
      <c r="D37">
        <v>0.25</v>
      </c>
      <c r="E37">
        <v>8.5799869999999991</v>
      </c>
      <c r="F37">
        <v>4.4311424231332199E+28</v>
      </c>
      <c r="G37" t="s">
        <v>18</v>
      </c>
      <c r="H37">
        <f t="shared" si="4"/>
        <v>0</v>
      </c>
      <c r="I37">
        <f t="shared" si="5"/>
        <v>1.3299869999999991</v>
      </c>
      <c r="J37">
        <v>29</v>
      </c>
      <c r="K37">
        <f t="shared" si="1"/>
        <v>0.5</v>
      </c>
      <c r="L37" s="9">
        <f>AVERAGE('36'!C2:C1000)</f>
        <v>32.333333333333336</v>
      </c>
      <c r="M37" s="9">
        <f>AVERAGE('36'!D2:D1000)</f>
        <v>0.25</v>
      </c>
      <c r="N37" s="9">
        <f>AVERAGE('36'!E2:E1000)</f>
        <v>14.62668</v>
      </c>
      <c r="O37" s="10">
        <f t="shared" si="2"/>
        <v>6.5433466666666664</v>
      </c>
      <c r="P37">
        <f>'36'!H1-2</f>
        <v>3</v>
      </c>
      <c r="Q37">
        <f>'36'!P1-2</f>
        <v>1</v>
      </c>
    </row>
    <row r="38" spans="1:17" x14ac:dyDescent="0.3">
      <c r="A38">
        <v>37</v>
      </c>
      <c r="B38" t="s">
        <v>1</v>
      </c>
      <c r="C38">
        <v>40</v>
      </c>
      <c r="D38">
        <v>0.25</v>
      </c>
      <c r="E38">
        <v>11</v>
      </c>
      <c r="F38">
        <v>2.33112244113111E+39</v>
      </c>
      <c r="G38" t="s">
        <v>18</v>
      </c>
      <c r="H38">
        <f t="shared" si="4"/>
        <v>0</v>
      </c>
      <c r="I38">
        <f t="shared" si="5"/>
        <v>1</v>
      </c>
      <c r="J38">
        <v>40</v>
      </c>
      <c r="K38">
        <f t="shared" si="1"/>
        <v>0.5</v>
      </c>
      <c r="L38" s="9">
        <f>AVERAGE('37'!C2:C1000)</f>
        <v>42</v>
      </c>
      <c r="M38" s="9">
        <f>AVERAGE('37'!D2:D1000)</f>
        <v>0.25</v>
      </c>
      <c r="N38" s="9">
        <f>AVERAGE('37'!E2:E1000)</f>
        <v>22.630004999999997</v>
      </c>
      <c r="O38" s="10">
        <f t="shared" si="2"/>
        <v>12.130004999999997</v>
      </c>
      <c r="P38">
        <f>'37'!H1-2</f>
        <v>2</v>
      </c>
      <c r="Q38">
        <f>'37'!P1-2</f>
        <v>1</v>
      </c>
    </row>
    <row r="39" spans="1:17" x14ac:dyDescent="0.3">
      <c r="A39" s="18">
        <v>38</v>
      </c>
      <c r="B39" s="18" t="s">
        <v>1</v>
      </c>
      <c r="C39" s="18">
        <v>93</v>
      </c>
      <c r="D39" s="18">
        <v>0.25</v>
      </c>
      <c r="E39" s="18">
        <v>56.319949999999999</v>
      </c>
      <c r="F39" s="18" t="s">
        <v>250</v>
      </c>
      <c r="G39" s="18">
        <v>216600361</v>
      </c>
      <c r="H39">
        <f t="shared" si="4"/>
        <v>1</v>
      </c>
      <c r="I39">
        <f t="shared" si="5"/>
        <v>33.069949999999999</v>
      </c>
      <c r="J39">
        <v>75</v>
      </c>
      <c r="K39">
        <f t="shared" si="1"/>
        <v>0</v>
      </c>
      <c r="L39" s="9">
        <f>AVERAGE('38'!C2:C1000)</f>
        <v>93</v>
      </c>
      <c r="M39" s="9">
        <f>AVERAGE('38'!D2:D1000)</f>
        <v>0.25</v>
      </c>
      <c r="N39" s="9">
        <f>AVERAGE('38'!E2:E1000)</f>
        <v>56.319949999999999</v>
      </c>
      <c r="O39" s="10">
        <f t="shared" si="2"/>
        <v>33.069949999999999</v>
      </c>
      <c r="P39">
        <f>'38'!H1-2</f>
        <v>1</v>
      </c>
      <c r="Q39">
        <f>'38'!P1-2</f>
        <v>3</v>
      </c>
    </row>
    <row r="40" spans="1:17" x14ac:dyDescent="0.3">
      <c r="A40" s="18">
        <v>39</v>
      </c>
      <c r="B40" s="18" t="s">
        <v>1</v>
      </c>
      <c r="C40" s="18">
        <v>73</v>
      </c>
      <c r="D40" s="18">
        <v>0.25</v>
      </c>
      <c r="E40" s="18">
        <v>23.64001</v>
      </c>
      <c r="F40" s="18" t="s">
        <v>251</v>
      </c>
      <c r="G40" s="18">
        <v>186240291</v>
      </c>
      <c r="H40">
        <f t="shared" si="4"/>
        <v>1</v>
      </c>
      <c r="I40">
        <f t="shared" si="5"/>
        <v>5.3900100000000002</v>
      </c>
      <c r="J40">
        <v>71</v>
      </c>
      <c r="K40">
        <f t="shared" si="1"/>
        <v>0</v>
      </c>
      <c r="L40" s="9">
        <f>AVERAGE('39'!C2:C1000)</f>
        <v>73</v>
      </c>
      <c r="M40" s="9">
        <f>AVERAGE('39'!D2:D1000)</f>
        <v>0.25</v>
      </c>
      <c r="N40" s="9">
        <f>AVERAGE('39'!E2:E1000)</f>
        <v>23.64001</v>
      </c>
      <c r="O40" s="10">
        <f t="shared" si="2"/>
        <v>5.3900100000000002</v>
      </c>
      <c r="P40">
        <f>'39'!H1-2</f>
        <v>1</v>
      </c>
      <c r="Q40">
        <f>'39'!P1-2</f>
        <v>0</v>
      </c>
    </row>
    <row r="41" spans="1:17" x14ac:dyDescent="0.3">
      <c r="A41">
        <v>40</v>
      </c>
      <c r="B41" t="s">
        <v>1</v>
      </c>
      <c r="C41">
        <v>41</v>
      </c>
      <c r="D41">
        <v>0.25</v>
      </c>
      <c r="E41">
        <v>14.82</v>
      </c>
      <c r="F41" t="s">
        <v>28</v>
      </c>
      <c r="G41" t="s">
        <v>18</v>
      </c>
      <c r="H41">
        <f t="shared" si="4"/>
        <v>1</v>
      </c>
      <c r="I41">
        <f t="shared" si="5"/>
        <v>4.57</v>
      </c>
      <c r="J41">
        <v>41</v>
      </c>
      <c r="K41">
        <f t="shared" si="1"/>
        <v>0.5</v>
      </c>
      <c r="L41" s="9">
        <f>AVERAGE('40'!C2:C1000)</f>
        <v>41</v>
      </c>
      <c r="M41" s="9">
        <f>AVERAGE('40'!D2:D1000)</f>
        <v>0.25</v>
      </c>
      <c r="N41" s="9">
        <f>AVERAGE('40'!E2:E1000)</f>
        <v>14.96002</v>
      </c>
      <c r="O41" s="10">
        <f t="shared" si="2"/>
        <v>4.7100200000000001</v>
      </c>
      <c r="P41">
        <f>'40'!H1-2</f>
        <v>2</v>
      </c>
      <c r="Q41">
        <f>'40'!P1-2</f>
        <v>1</v>
      </c>
    </row>
    <row r="42" spans="1:17" x14ac:dyDescent="0.3">
      <c r="A42" s="18">
        <v>41</v>
      </c>
      <c r="B42" s="18" t="s">
        <v>1</v>
      </c>
      <c r="C42" s="18">
        <v>50</v>
      </c>
      <c r="D42" s="18">
        <v>0.25</v>
      </c>
      <c r="E42" s="18">
        <v>15.979979999999999</v>
      </c>
      <c r="F42" s="18" t="s">
        <v>253</v>
      </c>
      <c r="G42" s="18">
        <v>265</v>
      </c>
      <c r="H42">
        <f t="shared" si="4"/>
        <v>1</v>
      </c>
      <c r="I42">
        <f t="shared" si="5"/>
        <v>3.4799799999999994</v>
      </c>
      <c r="J42">
        <v>50</v>
      </c>
      <c r="K42">
        <f t="shared" si="1"/>
        <v>0.5</v>
      </c>
      <c r="L42" s="9">
        <f>AVERAGE('41'!C2:C1000)</f>
        <v>50</v>
      </c>
      <c r="M42" s="9">
        <f>AVERAGE('41'!D2:D1000)</f>
        <v>0.25</v>
      </c>
      <c r="N42" s="9">
        <f>AVERAGE('41'!E2:E1000)</f>
        <v>18.53999</v>
      </c>
      <c r="O42" s="10">
        <f t="shared" si="2"/>
        <v>6.0399899999999995</v>
      </c>
      <c r="P42">
        <f>'41'!H1-2</f>
        <v>2</v>
      </c>
      <c r="Q42">
        <f>'41'!P1-2</f>
        <v>0</v>
      </c>
    </row>
    <row r="43" spans="1:17" x14ac:dyDescent="0.3">
      <c r="A43" s="18">
        <v>42</v>
      </c>
      <c r="B43" s="18" t="s">
        <v>1</v>
      </c>
      <c r="C43" s="18">
        <v>18</v>
      </c>
      <c r="D43" s="18">
        <v>0.25</v>
      </c>
      <c r="E43" s="18">
        <v>5.7598880000000001</v>
      </c>
      <c r="F43" s="18" t="s">
        <v>254</v>
      </c>
      <c r="G43" s="18">
        <v>7560175</v>
      </c>
      <c r="H43">
        <f t="shared" si="4"/>
        <v>1</v>
      </c>
      <c r="I43">
        <f t="shared" si="5"/>
        <v>1.2598880000000001</v>
      </c>
      <c r="J43">
        <v>18</v>
      </c>
      <c r="K43">
        <f t="shared" si="1"/>
        <v>0.5</v>
      </c>
      <c r="L43" s="9">
        <f>AVERAGE('42'!C2:C1000)</f>
        <v>19</v>
      </c>
      <c r="M43" s="9">
        <f>AVERAGE('42'!D2:D1000)</f>
        <v>0.25</v>
      </c>
      <c r="N43" s="9">
        <f>AVERAGE('42'!E2:E1000)</f>
        <v>6.7699435000000001</v>
      </c>
      <c r="O43" s="10">
        <f t="shared" si="2"/>
        <v>2.0199435000000001</v>
      </c>
      <c r="P43">
        <f>'42'!H1-2</f>
        <v>2</v>
      </c>
      <c r="Q43">
        <f>'42'!P1-2</f>
        <v>0</v>
      </c>
    </row>
    <row r="44" spans="1:17" x14ac:dyDescent="0.3">
      <c r="A44" s="18">
        <v>43</v>
      </c>
      <c r="B44" s="18" t="s">
        <v>1</v>
      </c>
      <c r="C44" s="18">
        <v>47</v>
      </c>
      <c r="D44" s="18">
        <v>0.25</v>
      </c>
      <c r="E44" s="18">
        <v>15.679930000000001</v>
      </c>
      <c r="F44" s="18" t="s">
        <v>256</v>
      </c>
      <c r="G44" s="18">
        <v>186945846</v>
      </c>
      <c r="H44">
        <f t="shared" si="4"/>
        <v>1</v>
      </c>
      <c r="I44">
        <f t="shared" si="5"/>
        <v>3.9299300000000006</v>
      </c>
      <c r="J44">
        <v>47</v>
      </c>
      <c r="K44">
        <f t="shared" si="1"/>
        <v>0.5</v>
      </c>
      <c r="L44" s="9">
        <f>AVERAGE('43'!C2:C1000)</f>
        <v>51</v>
      </c>
      <c r="M44" s="9">
        <f>AVERAGE('43'!D2:D1000)</f>
        <v>0.25</v>
      </c>
      <c r="N44" s="9">
        <f>AVERAGE('43'!E2:E1000)</f>
        <v>18.47992</v>
      </c>
      <c r="O44" s="10">
        <f t="shared" si="2"/>
        <v>5.7299199999999999</v>
      </c>
      <c r="P44">
        <f>'43'!H1-2</f>
        <v>2</v>
      </c>
      <c r="Q44">
        <f>'43'!P1-2</f>
        <v>1</v>
      </c>
    </row>
    <row r="45" spans="1:17" x14ac:dyDescent="0.3">
      <c r="A45" s="18">
        <v>44</v>
      </c>
      <c r="B45" s="18" t="s">
        <v>1</v>
      </c>
      <c r="C45" s="18">
        <v>56</v>
      </c>
      <c r="D45" s="18">
        <v>0.25</v>
      </c>
      <c r="E45" s="18">
        <v>18.239989999999999</v>
      </c>
      <c r="F45" s="18" t="s">
        <v>257</v>
      </c>
      <c r="G45" s="18">
        <v>191094030</v>
      </c>
      <c r="H45">
        <f t="shared" si="4"/>
        <v>1</v>
      </c>
      <c r="I45">
        <f t="shared" si="5"/>
        <v>4.2399899999999988</v>
      </c>
      <c r="J45">
        <v>56</v>
      </c>
      <c r="K45">
        <f t="shared" si="1"/>
        <v>0.5</v>
      </c>
      <c r="L45" s="9">
        <f>AVERAGE('44'!C2:C1000)</f>
        <v>56</v>
      </c>
      <c r="M45" s="9">
        <f>AVERAGE('44'!D2:D1000)</f>
        <v>0.25</v>
      </c>
      <c r="N45" s="9">
        <f>AVERAGE('44'!E2:E1000)</f>
        <v>18.239989999999999</v>
      </c>
      <c r="O45" s="10">
        <f t="shared" si="2"/>
        <v>4.2399899999999988</v>
      </c>
      <c r="P45">
        <f>'44'!H1-2</f>
        <v>1</v>
      </c>
      <c r="Q45">
        <f>'44'!P1-2</f>
        <v>0</v>
      </c>
    </row>
    <row r="46" spans="1:17" x14ac:dyDescent="0.3">
      <c r="A46" s="18">
        <v>45</v>
      </c>
      <c r="B46" s="18" t="s">
        <v>1</v>
      </c>
      <c r="C46" s="18">
        <v>35</v>
      </c>
      <c r="D46" s="18">
        <v>0.25</v>
      </c>
      <c r="E46" s="18">
        <v>12.300050000000001</v>
      </c>
      <c r="F46" s="18" t="s">
        <v>258</v>
      </c>
      <c r="G46" s="18">
        <v>3964979</v>
      </c>
      <c r="H46">
        <f t="shared" si="4"/>
        <v>1</v>
      </c>
      <c r="I46">
        <f t="shared" si="5"/>
        <v>3.5500500000000006</v>
      </c>
      <c r="J46">
        <v>35</v>
      </c>
      <c r="K46">
        <f t="shared" si="1"/>
        <v>0.5</v>
      </c>
      <c r="L46" s="9">
        <f>AVERAGE('45'!C2:C1000)</f>
        <v>35</v>
      </c>
      <c r="M46" s="9">
        <f>AVERAGE('45'!D2:D1000)</f>
        <v>0.25</v>
      </c>
      <c r="N46" s="9">
        <f>AVERAGE('45'!E2:E1000)</f>
        <v>12.300050000000001</v>
      </c>
      <c r="O46" s="10">
        <f t="shared" si="2"/>
        <v>3.5500500000000006</v>
      </c>
      <c r="P46">
        <f>'45'!H1-2</f>
        <v>1</v>
      </c>
      <c r="Q46">
        <f>'45'!P1-2</f>
        <v>0</v>
      </c>
    </row>
    <row r="47" spans="1:17" x14ac:dyDescent="0.3">
      <c r="G47" t="s">
        <v>18</v>
      </c>
      <c r="H47">
        <f t="shared" si="4"/>
        <v>1</v>
      </c>
      <c r="I47">
        <f t="shared" si="5"/>
        <v>0</v>
      </c>
      <c r="J47">
        <v>41</v>
      </c>
      <c r="K47">
        <f t="shared" si="1"/>
        <v>0</v>
      </c>
      <c r="L47" s="9" t="e">
        <f>AVERAGE('46'!C2:C1000)</f>
        <v>#DIV/0!</v>
      </c>
      <c r="M47" s="9" t="e">
        <f>AVERAGE('46'!D2:D1000)</f>
        <v>#DIV/0!</v>
      </c>
      <c r="N47" s="9" t="e">
        <f>AVERAGE('46'!E2:E1000)</f>
        <v>#DIV/0!</v>
      </c>
      <c r="O47" s="10" t="e">
        <f t="shared" si="2"/>
        <v>#DIV/0!</v>
      </c>
      <c r="P47">
        <f>'46'!H1-2</f>
        <v>0</v>
      </c>
      <c r="Q47">
        <f>'46'!P1-2</f>
        <v>0</v>
      </c>
    </row>
    <row r="48" spans="1:17" x14ac:dyDescent="0.3">
      <c r="G48" t="s">
        <v>18</v>
      </c>
      <c r="H48">
        <f t="shared" si="4"/>
        <v>1</v>
      </c>
      <c r="I48">
        <f t="shared" si="5"/>
        <v>0</v>
      </c>
      <c r="J48">
        <v>42</v>
      </c>
      <c r="K48">
        <f t="shared" si="1"/>
        <v>0</v>
      </c>
      <c r="L48" s="9" t="e">
        <f>AVERAGE('47'!C2:C1000)</f>
        <v>#DIV/0!</v>
      </c>
      <c r="M48" s="9" t="e">
        <f>AVERAGE('47'!D2:D1000)</f>
        <v>#DIV/0!</v>
      </c>
      <c r="N48" s="9" t="e">
        <f>AVERAGE('47'!E2:E1000)</f>
        <v>#DIV/0!</v>
      </c>
      <c r="O48" s="10" t="e">
        <f t="shared" si="2"/>
        <v>#DIV/0!</v>
      </c>
      <c r="P48">
        <f>'47'!H1-2</f>
        <v>0</v>
      </c>
      <c r="Q48">
        <f>'47'!P1-2</f>
        <v>0</v>
      </c>
    </row>
    <row r="49" spans="1:17" x14ac:dyDescent="0.3">
      <c r="G49" t="s">
        <v>18</v>
      </c>
      <c r="H49">
        <f t="shared" si="4"/>
        <v>1</v>
      </c>
      <c r="I49">
        <f t="shared" si="5"/>
        <v>0</v>
      </c>
      <c r="J49">
        <v>50</v>
      </c>
      <c r="K49">
        <f t="shared" si="1"/>
        <v>0</v>
      </c>
      <c r="L49" s="9" t="e">
        <f>AVERAGE('48'!C2:C1000)</f>
        <v>#DIV/0!</v>
      </c>
      <c r="M49" s="9" t="e">
        <f>AVERAGE('48'!D2:D1000)</f>
        <v>#DIV/0!</v>
      </c>
      <c r="N49" s="9" t="e">
        <f>AVERAGE('48'!E2:E1000)</f>
        <v>#DIV/0!</v>
      </c>
      <c r="O49" s="10" t="e">
        <f t="shared" si="2"/>
        <v>#DIV/0!</v>
      </c>
      <c r="P49">
        <f>'48'!H1-2</f>
        <v>0</v>
      </c>
      <c r="Q49">
        <f>'48'!P1-2</f>
        <v>0</v>
      </c>
    </row>
    <row r="50" spans="1:17" x14ac:dyDescent="0.3">
      <c r="G50" t="s">
        <v>18</v>
      </c>
      <c r="H50">
        <f t="shared" si="4"/>
        <v>1</v>
      </c>
      <c r="I50">
        <f t="shared" si="5"/>
        <v>0</v>
      </c>
      <c r="J50">
        <v>29</v>
      </c>
      <c r="K50">
        <f t="shared" si="1"/>
        <v>0</v>
      </c>
      <c r="L50" s="9" t="e">
        <f>AVERAGE('49'!C2:C1000)</f>
        <v>#DIV/0!</v>
      </c>
      <c r="M50" s="9" t="e">
        <f>AVERAGE('49'!D2:D1000)</f>
        <v>#DIV/0!</v>
      </c>
      <c r="N50" s="9" t="e">
        <f>AVERAGE('49'!E2:E1000)</f>
        <v>#DIV/0!</v>
      </c>
      <c r="O50" s="10" t="e">
        <f t="shared" si="2"/>
        <v>#DIV/0!</v>
      </c>
      <c r="P50">
        <f>'49'!H1-2</f>
        <v>0</v>
      </c>
      <c r="Q50">
        <f>'49'!P1-2</f>
        <v>0</v>
      </c>
    </row>
    <row r="51" spans="1:17" x14ac:dyDescent="0.3">
      <c r="G51" t="s">
        <v>18</v>
      </c>
      <c r="H51">
        <f t="shared" ref="H51" si="6">IF(LEN(F51)=C51,1,0)</f>
        <v>1</v>
      </c>
      <c r="I51">
        <f t="shared" si="5"/>
        <v>0</v>
      </c>
      <c r="J51">
        <v>410</v>
      </c>
      <c r="K51">
        <f t="shared" si="1"/>
        <v>0</v>
      </c>
      <c r="L51" s="9" t="e">
        <f>AVERAGE('50'!C2:C1000)</f>
        <v>#DIV/0!</v>
      </c>
      <c r="M51" s="9" t="e">
        <f>AVERAGE('50'!D2:D1000)</f>
        <v>#DIV/0!</v>
      </c>
      <c r="N51" s="9" t="e">
        <f>AVERAGE('50'!E2:E1000)</f>
        <v>#DIV/0!</v>
      </c>
      <c r="O51" s="10" t="e">
        <f t="shared" si="2"/>
        <v>#DIV/0!</v>
      </c>
      <c r="P51">
        <f>'50'!H1-2</f>
        <v>0</v>
      </c>
      <c r="Q51">
        <f>'50'!P1-2</f>
        <v>0</v>
      </c>
    </row>
    <row r="52" spans="1:17" x14ac:dyDescent="0.3">
      <c r="G52" t="s">
        <v>18</v>
      </c>
      <c r="H52">
        <f t="shared" ref="H52:H100" si="7">IF(LEN(F52)=C52,1,0)</f>
        <v>1</v>
      </c>
      <c r="I52">
        <f t="shared" ref="I52:I100" si="8">E52-(D52*C52)</f>
        <v>0</v>
      </c>
      <c r="J52">
        <v>53</v>
      </c>
      <c r="K52">
        <f t="shared" si="1"/>
        <v>0</v>
      </c>
      <c r="L52" s="9" t="e">
        <f>AVERAGE('51'!C2:C1000)</f>
        <v>#DIV/0!</v>
      </c>
      <c r="M52" s="9" t="e">
        <f>AVERAGE('51'!D2:D1000)</f>
        <v>#DIV/0!</v>
      </c>
      <c r="N52" s="9" t="e">
        <f>AVERAGE('51'!E2:E1000)</f>
        <v>#DIV/0!</v>
      </c>
      <c r="O52" s="10" t="e">
        <f t="shared" si="2"/>
        <v>#DIV/0!</v>
      </c>
      <c r="P52">
        <f>'51'!H1-2</f>
        <v>0</v>
      </c>
      <c r="Q52">
        <f>'51'!P1-2</f>
        <v>0</v>
      </c>
    </row>
    <row r="53" spans="1:17" x14ac:dyDescent="0.3">
      <c r="A53">
        <v>52</v>
      </c>
      <c r="B53" t="s">
        <v>1</v>
      </c>
      <c r="C53">
        <v>43</v>
      </c>
      <c r="D53">
        <v>0.25</v>
      </c>
      <c r="E53">
        <v>15.94</v>
      </c>
      <c r="F53" t="s">
        <v>20</v>
      </c>
      <c r="G53" t="s">
        <v>18</v>
      </c>
      <c r="H53">
        <f t="shared" si="7"/>
        <v>1</v>
      </c>
      <c r="I53">
        <f t="shared" si="8"/>
        <v>5.1899999999999995</v>
      </c>
      <c r="J53">
        <v>41</v>
      </c>
      <c r="K53">
        <f t="shared" si="1"/>
        <v>0</v>
      </c>
      <c r="L53" s="9" t="e">
        <f>AVERAGE('52'!C2:C1000)</f>
        <v>#DIV/0!</v>
      </c>
      <c r="M53" s="9" t="e">
        <f>AVERAGE('52'!D2:D1000)</f>
        <v>#DIV/0!</v>
      </c>
      <c r="N53" s="9" t="e">
        <f>AVERAGE('52'!E2:E1000)</f>
        <v>#DIV/0!</v>
      </c>
      <c r="O53" s="10" t="e">
        <f t="shared" si="2"/>
        <v>#DIV/0!</v>
      </c>
      <c r="P53">
        <f>'52'!H1-2</f>
        <v>0</v>
      </c>
      <c r="Q53">
        <f>'52'!P1-2</f>
        <v>0</v>
      </c>
    </row>
    <row r="54" spans="1:17" x14ac:dyDescent="0.3">
      <c r="A54">
        <v>53</v>
      </c>
      <c r="B54" t="s">
        <v>1</v>
      </c>
      <c r="C54">
        <v>99</v>
      </c>
      <c r="D54">
        <v>0.25</v>
      </c>
      <c r="E54">
        <v>32.64</v>
      </c>
      <c r="F54" t="s">
        <v>21</v>
      </c>
      <c r="G54" t="s">
        <v>18</v>
      </c>
      <c r="H54">
        <f t="shared" si="7"/>
        <v>1</v>
      </c>
      <c r="I54">
        <f t="shared" si="8"/>
        <v>7.8900000000000006</v>
      </c>
      <c r="J54">
        <v>99</v>
      </c>
      <c r="K54">
        <f t="shared" si="1"/>
        <v>0.5</v>
      </c>
      <c r="L54" s="9" t="e">
        <f>AVERAGE('53'!C2:C1000)</f>
        <v>#DIV/0!</v>
      </c>
      <c r="M54" s="9" t="e">
        <f>AVERAGE('53'!D2:D1000)</f>
        <v>#DIV/0!</v>
      </c>
      <c r="N54" s="9" t="e">
        <f>AVERAGE('53'!E2:E1000)</f>
        <v>#DIV/0!</v>
      </c>
      <c r="O54" s="10" t="e">
        <f t="shared" si="2"/>
        <v>#DIV/0!</v>
      </c>
      <c r="P54">
        <f>'53'!H1-2</f>
        <v>0</v>
      </c>
      <c r="Q54">
        <f>'53'!P1-2</f>
        <v>0</v>
      </c>
    </row>
    <row r="55" spans="1:17" x14ac:dyDescent="0.3">
      <c r="G55" t="s">
        <v>18</v>
      </c>
      <c r="H55">
        <f t="shared" si="7"/>
        <v>1</v>
      </c>
      <c r="I55">
        <f t="shared" si="8"/>
        <v>0</v>
      </c>
      <c r="J55">
        <v>71</v>
      </c>
      <c r="K55">
        <f t="shared" si="1"/>
        <v>0</v>
      </c>
      <c r="L55" s="9" t="e">
        <f>AVERAGE('54'!C2:C1000)</f>
        <v>#DIV/0!</v>
      </c>
      <c r="M55" s="9" t="e">
        <f>AVERAGE('54'!D2:D1000)</f>
        <v>#DIV/0!</v>
      </c>
      <c r="N55" s="9" t="e">
        <f>AVERAGE('54'!E2:E1000)</f>
        <v>#DIV/0!</v>
      </c>
      <c r="O55" s="10" t="e">
        <f t="shared" si="2"/>
        <v>#DIV/0!</v>
      </c>
      <c r="P55">
        <f>'54'!H1-2</f>
        <v>0</v>
      </c>
      <c r="Q55">
        <f>'54'!P1-2</f>
        <v>0</v>
      </c>
    </row>
    <row r="56" spans="1:17" x14ac:dyDescent="0.3">
      <c r="G56" t="s">
        <v>18</v>
      </c>
      <c r="H56">
        <f t="shared" si="7"/>
        <v>1</v>
      </c>
      <c r="I56">
        <f t="shared" si="8"/>
        <v>0</v>
      </c>
      <c r="J56">
        <v>37</v>
      </c>
      <c r="K56">
        <f t="shared" si="1"/>
        <v>0</v>
      </c>
      <c r="L56" s="9" t="e">
        <f>AVERAGE('55'!C2:C1000)</f>
        <v>#DIV/0!</v>
      </c>
      <c r="M56" s="9" t="e">
        <f>AVERAGE('55'!D2:D1000)</f>
        <v>#DIV/0!</v>
      </c>
      <c r="N56" s="9" t="e">
        <f>AVERAGE('55'!E2:E1000)</f>
        <v>#DIV/0!</v>
      </c>
      <c r="O56" s="10" t="e">
        <f t="shared" si="2"/>
        <v>#DIV/0!</v>
      </c>
      <c r="P56">
        <f>'55'!H1-2</f>
        <v>0</v>
      </c>
      <c r="Q56">
        <f>'55'!P1-2</f>
        <v>0</v>
      </c>
    </row>
    <row r="57" spans="1:17" x14ac:dyDescent="0.3">
      <c r="G57" t="s">
        <v>18</v>
      </c>
      <c r="H57">
        <f t="shared" si="7"/>
        <v>1</v>
      </c>
      <c r="I57">
        <f t="shared" si="8"/>
        <v>0</v>
      </c>
      <c r="J57">
        <v>89</v>
      </c>
      <c r="K57">
        <f t="shared" si="1"/>
        <v>0</v>
      </c>
      <c r="L57" s="9" t="e">
        <f>AVERAGE('56'!C2:C1000)</f>
        <v>#DIV/0!</v>
      </c>
      <c r="M57" s="9" t="e">
        <f>AVERAGE('56'!D2:D1000)</f>
        <v>#DIV/0!</v>
      </c>
      <c r="N57" s="9" t="e">
        <f>AVERAGE('56'!E2:E1000)</f>
        <v>#DIV/0!</v>
      </c>
      <c r="O57" s="10" t="e">
        <f t="shared" si="2"/>
        <v>#DIV/0!</v>
      </c>
      <c r="P57">
        <f>'56'!H1-2</f>
        <v>0</v>
      </c>
      <c r="Q57">
        <f>'56'!P1-2</f>
        <v>0</v>
      </c>
    </row>
    <row r="58" spans="1:17" x14ac:dyDescent="0.3">
      <c r="G58" t="s">
        <v>18</v>
      </c>
      <c r="H58">
        <f t="shared" si="7"/>
        <v>1</v>
      </c>
      <c r="I58">
        <f t="shared" si="8"/>
        <v>0</v>
      </c>
      <c r="J58">
        <v>49</v>
      </c>
      <c r="K58">
        <f t="shared" si="1"/>
        <v>0</v>
      </c>
      <c r="L58" s="9" t="e">
        <f>AVERAGE('57'!C2:C1000)</f>
        <v>#DIV/0!</v>
      </c>
      <c r="M58" s="9" t="e">
        <f>AVERAGE('57'!D2:D1000)</f>
        <v>#DIV/0!</v>
      </c>
      <c r="N58" s="9" t="e">
        <f>AVERAGE('57'!E2:E1000)</f>
        <v>#DIV/0!</v>
      </c>
      <c r="O58" s="10" t="e">
        <f t="shared" si="2"/>
        <v>#DIV/0!</v>
      </c>
      <c r="P58">
        <f>'57'!H1-2</f>
        <v>0</v>
      </c>
      <c r="Q58">
        <f>'57'!P1-2</f>
        <v>0</v>
      </c>
    </row>
    <row r="59" spans="1:17" x14ac:dyDescent="0.3">
      <c r="G59" t="s">
        <v>18</v>
      </c>
      <c r="H59">
        <f t="shared" si="7"/>
        <v>1</v>
      </c>
      <c r="I59">
        <f t="shared" si="8"/>
        <v>0</v>
      </c>
      <c r="J59">
        <v>65</v>
      </c>
      <c r="K59">
        <f t="shared" si="1"/>
        <v>0</v>
      </c>
      <c r="L59" s="9" t="e">
        <f>AVERAGE('58'!C2:C1000)</f>
        <v>#DIV/0!</v>
      </c>
      <c r="M59" s="9" t="e">
        <f>AVERAGE('58'!D2:D1000)</f>
        <v>#DIV/0!</v>
      </c>
      <c r="N59" s="9" t="e">
        <f>AVERAGE('58'!E2:E1000)</f>
        <v>#DIV/0!</v>
      </c>
      <c r="O59" s="10" t="e">
        <f t="shared" si="2"/>
        <v>#DIV/0!</v>
      </c>
      <c r="P59">
        <f>'58'!H1-2</f>
        <v>0</v>
      </c>
      <c r="Q59">
        <f>'58'!P1-2</f>
        <v>0</v>
      </c>
    </row>
    <row r="60" spans="1:17" x14ac:dyDescent="0.3">
      <c r="G60" t="s">
        <v>18</v>
      </c>
      <c r="H60">
        <f t="shared" si="7"/>
        <v>1</v>
      </c>
      <c r="I60">
        <f t="shared" si="8"/>
        <v>0</v>
      </c>
      <c r="J60">
        <v>63</v>
      </c>
      <c r="K60">
        <f t="shared" si="1"/>
        <v>0</v>
      </c>
      <c r="L60" s="9" t="e">
        <f>AVERAGE('59'!C2:C1000)</f>
        <v>#DIV/0!</v>
      </c>
      <c r="M60" s="9" t="e">
        <f>AVERAGE('59'!D2:D1000)</f>
        <v>#DIV/0!</v>
      </c>
      <c r="N60" s="9" t="e">
        <f>AVERAGE('59'!E2:E1000)</f>
        <v>#DIV/0!</v>
      </c>
      <c r="O60" s="10" t="e">
        <f t="shared" si="2"/>
        <v>#DIV/0!</v>
      </c>
      <c r="P60">
        <f>'59'!H1-2</f>
        <v>0</v>
      </c>
      <c r="Q60">
        <f>'59'!P1-2</f>
        <v>0</v>
      </c>
    </row>
    <row r="61" spans="1:17" x14ac:dyDescent="0.3">
      <c r="A61" s="19">
        <v>60</v>
      </c>
      <c r="B61" s="19" t="s">
        <v>1</v>
      </c>
      <c r="C61" s="19">
        <v>47</v>
      </c>
      <c r="D61" s="19">
        <v>0.25</v>
      </c>
      <c r="E61" s="19">
        <v>15.94</v>
      </c>
      <c r="F61" s="19" t="s">
        <v>231</v>
      </c>
      <c r="G61" s="19">
        <v>6809825</v>
      </c>
      <c r="H61">
        <f t="shared" si="7"/>
        <v>1</v>
      </c>
      <c r="I61">
        <f t="shared" si="8"/>
        <v>4.1899999999999995</v>
      </c>
      <c r="J61">
        <v>47</v>
      </c>
      <c r="K61">
        <f t="shared" si="1"/>
        <v>0.5</v>
      </c>
      <c r="L61" s="9">
        <f>AVERAGE('60'!C2:C1000)</f>
        <v>47</v>
      </c>
      <c r="M61" s="9">
        <f>AVERAGE('60'!D2:D1000)</f>
        <v>0.25</v>
      </c>
      <c r="N61" s="9">
        <f>AVERAGE('60'!E2:E1000)</f>
        <v>16.87</v>
      </c>
      <c r="O61" s="10">
        <f t="shared" si="2"/>
        <v>5.120000000000001</v>
      </c>
      <c r="P61">
        <f>'60'!H1-2</f>
        <v>2</v>
      </c>
      <c r="Q61">
        <f>'60'!P1-2</f>
        <v>0</v>
      </c>
    </row>
    <row r="62" spans="1:17" x14ac:dyDescent="0.3">
      <c r="A62" s="19">
        <v>61</v>
      </c>
      <c r="B62" s="19" t="s">
        <v>1</v>
      </c>
      <c r="C62" s="19">
        <v>83</v>
      </c>
      <c r="D62" s="19">
        <v>0.25</v>
      </c>
      <c r="E62" s="19">
        <v>26.64</v>
      </c>
      <c r="F62" s="19" t="s">
        <v>233</v>
      </c>
      <c r="G62" s="19">
        <v>66000338</v>
      </c>
      <c r="H62">
        <f t="shared" si="7"/>
        <v>1</v>
      </c>
      <c r="I62">
        <f t="shared" si="8"/>
        <v>5.8900000000000006</v>
      </c>
      <c r="J62">
        <v>83</v>
      </c>
      <c r="K62">
        <f t="shared" si="1"/>
        <v>0.5</v>
      </c>
      <c r="L62" s="9">
        <f>AVERAGE('61'!C2:C1000)</f>
        <v>83</v>
      </c>
      <c r="M62" s="9">
        <f>AVERAGE('61'!D2:D1000)</f>
        <v>0.25</v>
      </c>
      <c r="N62" s="9">
        <f>AVERAGE('61'!E2:E1000)</f>
        <v>26.64</v>
      </c>
      <c r="O62" s="10">
        <f t="shared" si="2"/>
        <v>5.8900000000000006</v>
      </c>
      <c r="P62">
        <f>'61'!H1-2</f>
        <v>1</v>
      </c>
      <c r="Q62">
        <f>'61'!P1-2</f>
        <v>1</v>
      </c>
    </row>
    <row r="63" spans="1:17" x14ac:dyDescent="0.3">
      <c r="A63" s="19">
        <v>62</v>
      </c>
      <c r="B63" s="19" t="s">
        <v>1</v>
      </c>
      <c r="C63" s="19">
        <v>73</v>
      </c>
      <c r="D63" s="19">
        <v>0.25</v>
      </c>
      <c r="E63" s="19">
        <v>30.74</v>
      </c>
      <c r="F63" s="19" t="s">
        <v>234</v>
      </c>
      <c r="G63" s="19">
        <v>6648283</v>
      </c>
      <c r="H63">
        <f t="shared" si="7"/>
        <v>1</v>
      </c>
      <c r="I63">
        <f t="shared" si="8"/>
        <v>12.489999999999998</v>
      </c>
      <c r="J63">
        <v>70</v>
      </c>
      <c r="K63">
        <f t="shared" si="1"/>
        <v>0</v>
      </c>
      <c r="L63" s="9">
        <f>AVERAGE('62'!C2:C1000)</f>
        <v>73</v>
      </c>
      <c r="M63" s="9">
        <f>AVERAGE('62'!D2:D1000)</f>
        <v>0.25</v>
      </c>
      <c r="N63" s="9">
        <f>AVERAGE('62'!E2:E1000)</f>
        <v>30.74</v>
      </c>
      <c r="O63" s="10">
        <f t="shared" si="2"/>
        <v>12.489999999999998</v>
      </c>
      <c r="P63">
        <f>'62'!H1-2</f>
        <v>1</v>
      </c>
      <c r="Q63">
        <f>'62'!P1-2</f>
        <v>0</v>
      </c>
    </row>
    <row r="64" spans="1:17" x14ac:dyDescent="0.3">
      <c r="A64" s="19">
        <v>63</v>
      </c>
      <c r="B64" s="19" t="s">
        <v>1</v>
      </c>
      <c r="C64" s="19">
        <v>84</v>
      </c>
      <c r="D64" s="19">
        <v>0.25</v>
      </c>
      <c r="E64" s="19">
        <v>27.62</v>
      </c>
      <c r="F64" s="19" t="s">
        <v>235</v>
      </c>
      <c r="G64" s="19">
        <v>135219507</v>
      </c>
      <c r="H64">
        <f t="shared" si="7"/>
        <v>1</v>
      </c>
      <c r="I64">
        <f t="shared" si="8"/>
        <v>6.620000000000001</v>
      </c>
      <c r="J64">
        <v>84</v>
      </c>
      <c r="K64">
        <f t="shared" si="1"/>
        <v>0.5</v>
      </c>
      <c r="L64" s="9">
        <f>AVERAGE('63'!C2:C1000)</f>
        <v>84</v>
      </c>
      <c r="M64" s="9">
        <f>AVERAGE('63'!D2:D1000)</f>
        <v>0.25</v>
      </c>
      <c r="N64" s="9">
        <f>AVERAGE('63'!E2:E1000)</f>
        <v>27.62</v>
      </c>
      <c r="O64" s="10">
        <f t="shared" si="2"/>
        <v>6.620000000000001</v>
      </c>
      <c r="P64">
        <f>'63'!H1-2</f>
        <v>1</v>
      </c>
      <c r="Q64">
        <f>'63'!P1-2</f>
        <v>0</v>
      </c>
    </row>
    <row r="65" spans="1:17" x14ac:dyDescent="0.3">
      <c r="A65" s="19">
        <v>64</v>
      </c>
      <c r="B65" s="19" t="s">
        <v>1</v>
      </c>
      <c r="C65" s="19">
        <v>80</v>
      </c>
      <c r="D65" s="19">
        <v>0.25</v>
      </c>
      <c r="E65" s="19">
        <v>41.099989999999998</v>
      </c>
      <c r="F65" s="19" t="s">
        <v>236</v>
      </c>
      <c r="G65" s="19">
        <v>110720354</v>
      </c>
      <c r="H65">
        <f t="shared" si="7"/>
        <v>1</v>
      </c>
      <c r="I65">
        <f t="shared" si="8"/>
        <v>21.099989999999998</v>
      </c>
      <c r="J65">
        <v>80</v>
      </c>
      <c r="K65">
        <f t="shared" si="1"/>
        <v>0.5</v>
      </c>
      <c r="L65" s="9">
        <f>AVERAGE('64'!C2:C1000)</f>
        <v>80</v>
      </c>
      <c r="M65" s="9">
        <f>AVERAGE('64'!D2:D1000)</f>
        <v>0.25</v>
      </c>
      <c r="N65" s="9">
        <f>AVERAGE('64'!E2:E1000)</f>
        <v>41.099989999999998</v>
      </c>
      <c r="O65" s="10">
        <f t="shared" si="2"/>
        <v>21.099989999999998</v>
      </c>
      <c r="P65">
        <f>'64'!H1-2</f>
        <v>1</v>
      </c>
      <c r="Q65">
        <f>'64'!P1-2</f>
        <v>0</v>
      </c>
    </row>
    <row r="66" spans="1:17" x14ac:dyDescent="0.3">
      <c r="A66" s="19">
        <v>65</v>
      </c>
      <c r="B66" s="19" t="s">
        <v>1</v>
      </c>
      <c r="C66" s="19">
        <v>34</v>
      </c>
      <c r="D66" s="19">
        <v>0.25</v>
      </c>
      <c r="E66" s="19">
        <v>11.319990000000001</v>
      </c>
      <c r="F66" s="19" t="s">
        <v>237</v>
      </c>
      <c r="G66" s="19">
        <v>57680209</v>
      </c>
      <c r="H66">
        <f t="shared" si="7"/>
        <v>1</v>
      </c>
      <c r="I66">
        <f t="shared" si="8"/>
        <v>2.8199900000000007</v>
      </c>
      <c r="J66">
        <v>34</v>
      </c>
      <c r="K66">
        <f t="shared" si="1"/>
        <v>0.5</v>
      </c>
      <c r="L66" s="9">
        <f>AVERAGE('65'!C2:C1000)</f>
        <v>34</v>
      </c>
      <c r="M66" s="9">
        <f>AVERAGE('65'!D2:D1000)</f>
        <v>0.25</v>
      </c>
      <c r="N66" s="9">
        <f>AVERAGE('65'!E2:E1000)</f>
        <v>11.319990000000001</v>
      </c>
      <c r="O66" s="10">
        <f t="shared" si="2"/>
        <v>2.8199900000000007</v>
      </c>
      <c r="P66">
        <f>'65'!H1-2</f>
        <v>1</v>
      </c>
      <c r="Q66">
        <f>'65'!P1-2</f>
        <v>0</v>
      </c>
    </row>
    <row r="67" spans="1:17" x14ac:dyDescent="0.3">
      <c r="H67">
        <f t="shared" si="7"/>
        <v>1</v>
      </c>
      <c r="I67">
        <f t="shared" si="8"/>
        <v>0</v>
      </c>
      <c r="J67">
        <v>33</v>
      </c>
      <c r="K67">
        <f t="shared" ref="K67:K101" si="9">IF(C67&gt;0,IF(C67&lt;J67,1,IF(C67=J67,0.5,0)),0)</f>
        <v>0</v>
      </c>
      <c r="L67" s="9" t="e">
        <f>AVERAGE('66'!C2:C1000)</f>
        <v>#DIV/0!</v>
      </c>
      <c r="M67" s="9" t="e">
        <f>AVERAGE('66'!D2:D1000)</f>
        <v>#DIV/0!</v>
      </c>
      <c r="N67" s="9" t="e">
        <f>AVERAGE('66'!E2:E1000)</f>
        <v>#DIV/0!</v>
      </c>
      <c r="O67" s="10" t="e">
        <f t="shared" ref="O67:O102" si="10">N67-(L67*M67)</f>
        <v>#DIV/0!</v>
      </c>
      <c r="P67">
        <f>'66'!H1-2</f>
        <v>0</v>
      </c>
      <c r="Q67">
        <f>'66'!P1-2</f>
        <v>0</v>
      </c>
    </row>
    <row r="68" spans="1:17" x14ac:dyDescent="0.3">
      <c r="H68">
        <f t="shared" si="7"/>
        <v>1</v>
      </c>
      <c r="I68">
        <f t="shared" si="8"/>
        <v>0</v>
      </c>
      <c r="J68">
        <v>99</v>
      </c>
      <c r="K68">
        <f t="shared" si="9"/>
        <v>0</v>
      </c>
      <c r="L68" s="9" t="e">
        <f>AVERAGE('67'!C2:C1000)</f>
        <v>#DIV/0!</v>
      </c>
      <c r="M68" s="9" t="e">
        <f>AVERAGE('67'!D2:D1000)</f>
        <v>#DIV/0!</v>
      </c>
      <c r="N68" s="9" t="e">
        <f>AVERAGE('67'!E2:E1000)</f>
        <v>#DIV/0!</v>
      </c>
      <c r="O68" s="10" t="e">
        <f t="shared" si="10"/>
        <v>#DIV/0!</v>
      </c>
      <c r="P68">
        <f>'67'!H1-2</f>
        <v>0</v>
      </c>
      <c r="Q68">
        <f>'67'!P1-2</f>
        <v>0</v>
      </c>
    </row>
    <row r="69" spans="1:17" x14ac:dyDescent="0.3">
      <c r="H69">
        <f t="shared" si="7"/>
        <v>1</v>
      </c>
      <c r="I69">
        <f t="shared" si="8"/>
        <v>0</v>
      </c>
      <c r="J69">
        <v>44</v>
      </c>
      <c r="K69">
        <f t="shared" si="9"/>
        <v>0</v>
      </c>
      <c r="L69" s="9" t="e">
        <f>AVERAGE('68'!C2:C1000)</f>
        <v>#DIV/0!</v>
      </c>
      <c r="M69" s="9" t="e">
        <f>AVERAGE('68'!D2:D1000)</f>
        <v>#DIV/0!</v>
      </c>
      <c r="N69" s="9" t="e">
        <f>AVERAGE('68'!E2:E1000)</f>
        <v>#DIV/0!</v>
      </c>
      <c r="O69" s="10" t="e">
        <f t="shared" si="10"/>
        <v>#DIV/0!</v>
      </c>
      <c r="P69">
        <f>'68'!H1-2</f>
        <v>0</v>
      </c>
      <c r="Q69">
        <f>'68'!P1-2</f>
        <v>0</v>
      </c>
    </row>
    <row r="70" spans="1:17" x14ac:dyDescent="0.3">
      <c r="H70">
        <f t="shared" si="7"/>
        <v>1</v>
      </c>
      <c r="I70">
        <f t="shared" si="8"/>
        <v>0</v>
      </c>
      <c r="J70">
        <v>72</v>
      </c>
      <c r="K70">
        <f t="shared" si="9"/>
        <v>0</v>
      </c>
      <c r="L70" s="9" t="e">
        <f>AVERAGE('69'!C2:C1000)</f>
        <v>#DIV/0!</v>
      </c>
      <c r="M70" s="9" t="e">
        <f>AVERAGE('69'!D2:D1000)</f>
        <v>#DIV/0!</v>
      </c>
      <c r="N70" s="9" t="e">
        <f>AVERAGE('69'!E2:E1000)</f>
        <v>#DIV/0!</v>
      </c>
      <c r="O70" s="10" t="e">
        <f t="shared" si="10"/>
        <v>#DIV/0!</v>
      </c>
      <c r="P70">
        <f>'69'!H1-2</f>
        <v>0</v>
      </c>
      <c r="Q70">
        <f>'69'!P1-2</f>
        <v>0</v>
      </c>
    </row>
    <row r="71" spans="1:17" x14ac:dyDescent="0.3">
      <c r="A71" s="8">
        <v>70</v>
      </c>
      <c r="B71" s="8" t="s">
        <v>1</v>
      </c>
      <c r="C71" s="8">
        <v>60</v>
      </c>
      <c r="D71" s="8">
        <v>0.25</v>
      </c>
      <c r="E71" s="8">
        <v>37.880000000000003</v>
      </c>
      <c r="F71" s="8" t="s">
        <v>162</v>
      </c>
      <c r="G71" s="8">
        <v>1774659124</v>
      </c>
      <c r="H71">
        <f t="shared" si="7"/>
        <v>1</v>
      </c>
      <c r="I71">
        <f t="shared" si="8"/>
        <v>22.880000000000003</v>
      </c>
      <c r="J71">
        <v>60</v>
      </c>
      <c r="K71">
        <f t="shared" si="9"/>
        <v>0.5</v>
      </c>
      <c r="L71" s="9">
        <f>AVERAGE('70'!C2:C1000)</f>
        <v>60</v>
      </c>
      <c r="M71" s="9">
        <f>AVERAGE('70'!D2:D1000)</f>
        <v>0.25</v>
      </c>
      <c r="N71" s="9">
        <f>AVERAGE('70'!E2:E1000)</f>
        <v>37.880000000000003</v>
      </c>
      <c r="O71" s="10">
        <f t="shared" si="10"/>
        <v>22.880000000000003</v>
      </c>
      <c r="P71">
        <f>'70'!H1-2</f>
        <v>1</v>
      </c>
      <c r="Q71">
        <f>'70'!P1-2</f>
        <v>0</v>
      </c>
    </row>
    <row r="72" spans="1:17" x14ac:dyDescent="0.3">
      <c r="A72" s="8">
        <v>71</v>
      </c>
      <c r="B72" s="8" t="s">
        <v>1</v>
      </c>
      <c r="C72" s="8">
        <v>61</v>
      </c>
      <c r="D72" s="8">
        <v>0.25</v>
      </c>
      <c r="E72" s="8">
        <v>31.64001</v>
      </c>
      <c r="F72" s="8" t="s">
        <v>163</v>
      </c>
      <c r="G72" s="8">
        <v>729240845</v>
      </c>
      <c r="H72">
        <f t="shared" si="7"/>
        <v>1</v>
      </c>
      <c r="I72">
        <f t="shared" si="8"/>
        <v>16.39001</v>
      </c>
      <c r="J72">
        <v>57</v>
      </c>
      <c r="K72">
        <f t="shared" si="9"/>
        <v>0</v>
      </c>
      <c r="L72" s="9">
        <f>AVERAGE('71'!C2:C1000)</f>
        <v>61</v>
      </c>
      <c r="M72" s="9">
        <f>AVERAGE('71'!D2:D1000)</f>
        <v>0.25</v>
      </c>
      <c r="N72" s="9">
        <f>AVERAGE('71'!E2:E1000)</f>
        <v>31.64001</v>
      </c>
      <c r="O72" s="10">
        <f t="shared" si="10"/>
        <v>16.39001</v>
      </c>
      <c r="P72">
        <f>'71'!H1-2</f>
        <v>1</v>
      </c>
      <c r="Q72">
        <f>'71'!P1-2</f>
        <v>0</v>
      </c>
    </row>
    <row r="73" spans="1:17" x14ac:dyDescent="0.3">
      <c r="A73" s="8">
        <v>72</v>
      </c>
      <c r="B73" s="8" t="s">
        <v>1</v>
      </c>
      <c r="C73" s="8">
        <v>106</v>
      </c>
      <c r="D73" s="8">
        <v>0.25</v>
      </c>
      <c r="E73" s="8">
        <v>330.34</v>
      </c>
      <c r="F73" s="8" t="s">
        <v>164</v>
      </c>
      <c r="G73" s="8">
        <v>-204519621</v>
      </c>
      <c r="H73">
        <f t="shared" si="7"/>
        <v>1</v>
      </c>
      <c r="I73">
        <f t="shared" si="8"/>
        <v>303.83999999999997</v>
      </c>
      <c r="J73">
        <v>106</v>
      </c>
      <c r="K73">
        <f t="shared" si="9"/>
        <v>0.5</v>
      </c>
      <c r="L73" s="9" t="e">
        <f>AVERAGE('72'!C2:C1000)</f>
        <v>#DIV/0!</v>
      </c>
      <c r="M73" s="9" t="e">
        <f>AVERAGE('72'!D2:D1000)</f>
        <v>#DIV/0!</v>
      </c>
      <c r="N73" s="9" t="e">
        <f>AVERAGE('72'!E2:E1000)</f>
        <v>#DIV/0!</v>
      </c>
      <c r="O73" s="10" t="e">
        <f t="shared" si="10"/>
        <v>#DIV/0!</v>
      </c>
      <c r="P73">
        <f>'72'!H1-2</f>
        <v>0</v>
      </c>
      <c r="Q73">
        <f>'72'!P1-2</f>
        <v>0</v>
      </c>
    </row>
    <row r="74" spans="1:17" x14ac:dyDescent="0.3">
      <c r="A74" s="8">
        <v>73</v>
      </c>
      <c r="B74" s="8" t="s">
        <v>1</v>
      </c>
      <c r="C74" s="8">
        <v>61</v>
      </c>
      <c r="D74" s="8">
        <v>0.25</v>
      </c>
      <c r="E74" s="8">
        <v>20.959959999999999</v>
      </c>
      <c r="F74" s="8" t="s">
        <v>165</v>
      </c>
      <c r="G74" s="8">
        <v>-828393125</v>
      </c>
      <c r="H74">
        <f t="shared" si="7"/>
        <v>1</v>
      </c>
      <c r="I74">
        <f t="shared" si="8"/>
        <v>5.7099599999999988</v>
      </c>
      <c r="J74">
        <v>59</v>
      </c>
      <c r="K74">
        <f t="shared" si="9"/>
        <v>0</v>
      </c>
      <c r="L74" s="9">
        <f>AVERAGE('73'!C2:C1000)</f>
        <v>61</v>
      </c>
      <c r="M74" s="9">
        <f>AVERAGE('73'!D2:D1000)</f>
        <v>0.25</v>
      </c>
      <c r="N74" s="9">
        <f>AVERAGE('73'!E2:E1000)</f>
        <v>20.959959999999999</v>
      </c>
      <c r="O74" s="10">
        <f t="shared" si="10"/>
        <v>5.7099599999999988</v>
      </c>
      <c r="P74">
        <f>'73'!H1-2</f>
        <v>1</v>
      </c>
      <c r="Q74">
        <f>'73'!P1-2</f>
        <v>0</v>
      </c>
    </row>
    <row r="75" spans="1:17" x14ac:dyDescent="0.3">
      <c r="A75" s="8">
        <v>74</v>
      </c>
      <c r="B75" s="8" t="s">
        <v>1</v>
      </c>
      <c r="C75" s="8">
        <v>95</v>
      </c>
      <c r="D75" s="8">
        <v>0.25</v>
      </c>
      <c r="E75" s="8">
        <v>35.700000000000003</v>
      </c>
      <c r="F75" s="8" t="s">
        <v>168</v>
      </c>
      <c r="G75" s="8">
        <v>-2081999296</v>
      </c>
      <c r="H75">
        <f t="shared" si="7"/>
        <v>1</v>
      </c>
      <c r="I75">
        <f t="shared" si="8"/>
        <v>11.950000000000003</v>
      </c>
      <c r="J75">
        <v>95</v>
      </c>
      <c r="K75">
        <f t="shared" si="9"/>
        <v>0.5</v>
      </c>
      <c r="L75" s="9">
        <f>AVERAGE('74'!C2:C1000)</f>
        <v>95</v>
      </c>
      <c r="M75" s="9">
        <f>AVERAGE('74'!D2:D1000)</f>
        <v>0.25</v>
      </c>
      <c r="N75" s="9">
        <f>AVERAGE('74'!E2:E1000)</f>
        <v>35.700000000000003</v>
      </c>
      <c r="O75" s="10">
        <f t="shared" si="10"/>
        <v>11.950000000000003</v>
      </c>
      <c r="P75">
        <f>'74'!H1-2</f>
        <v>1</v>
      </c>
      <c r="Q75">
        <f>'74'!P1-2</f>
        <v>0</v>
      </c>
    </row>
    <row r="76" spans="1:17" x14ac:dyDescent="0.3">
      <c r="A76" s="8">
        <v>75</v>
      </c>
      <c r="B76" s="8" t="s">
        <v>1</v>
      </c>
      <c r="C76" s="8">
        <v>170</v>
      </c>
      <c r="D76" s="8">
        <v>0.25</v>
      </c>
      <c r="E76" s="8">
        <v>67.759990000000002</v>
      </c>
      <c r="F76" s="8" t="s">
        <v>169</v>
      </c>
      <c r="G76" s="8">
        <v>-61789180</v>
      </c>
      <c r="H76">
        <f t="shared" si="7"/>
        <v>1</v>
      </c>
      <c r="I76">
        <f t="shared" si="8"/>
        <v>25.259990000000002</v>
      </c>
      <c r="J76">
        <v>164</v>
      </c>
      <c r="K76">
        <f t="shared" si="9"/>
        <v>0</v>
      </c>
      <c r="L76" s="9">
        <f>AVERAGE('75'!C2:C1000)</f>
        <v>170</v>
      </c>
      <c r="M76" s="9">
        <f>AVERAGE('75'!D2:D1000)</f>
        <v>0.25</v>
      </c>
      <c r="N76" s="9">
        <f>AVERAGE('75'!E2:E1000)</f>
        <v>67.759990000000002</v>
      </c>
      <c r="O76" s="10">
        <f t="shared" si="10"/>
        <v>25.259990000000002</v>
      </c>
      <c r="P76">
        <f>'75'!H1-2</f>
        <v>1</v>
      </c>
      <c r="Q76">
        <f>'75'!P1-2</f>
        <v>0</v>
      </c>
    </row>
    <row r="77" spans="1:17" x14ac:dyDescent="0.3">
      <c r="A77" s="8">
        <v>76</v>
      </c>
      <c r="B77" s="8" t="s">
        <v>1</v>
      </c>
      <c r="C77" s="8">
        <v>59</v>
      </c>
      <c r="D77" s="8">
        <v>0.25</v>
      </c>
      <c r="E77" s="8">
        <v>35.599989999999998</v>
      </c>
      <c r="F77" s="8" t="s">
        <v>174</v>
      </c>
      <c r="G77" s="8">
        <v>478083329</v>
      </c>
      <c r="H77">
        <f t="shared" si="7"/>
        <v>1</v>
      </c>
      <c r="I77">
        <f t="shared" si="8"/>
        <v>20.849989999999998</v>
      </c>
      <c r="J77">
        <v>53</v>
      </c>
      <c r="K77">
        <f t="shared" si="9"/>
        <v>0</v>
      </c>
      <c r="L77" s="9">
        <f>AVERAGE('76'!C2:C1000)</f>
        <v>59</v>
      </c>
      <c r="M77" s="9">
        <f>AVERAGE('76'!D2:D1000)</f>
        <v>0.25</v>
      </c>
      <c r="N77" s="9">
        <f>AVERAGE('76'!E2:E1000)</f>
        <v>35.599989999999998</v>
      </c>
      <c r="O77" s="10">
        <f t="shared" si="10"/>
        <v>20.849989999999998</v>
      </c>
      <c r="P77">
        <f>'76'!H1-2</f>
        <v>1</v>
      </c>
      <c r="Q77">
        <f>'76'!P1-2</f>
        <v>0</v>
      </c>
    </row>
    <row r="78" spans="1:17" x14ac:dyDescent="0.3">
      <c r="A78" s="8">
        <v>77</v>
      </c>
      <c r="H78">
        <f t="shared" si="7"/>
        <v>1</v>
      </c>
      <c r="I78">
        <f t="shared" si="8"/>
        <v>0</v>
      </c>
      <c r="J78">
        <v>98</v>
      </c>
      <c r="K78">
        <f t="shared" si="9"/>
        <v>0</v>
      </c>
      <c r="L78" s="9" t="e">
        <f>AVERAGE('77'!C2:C1000)</f>
        <v>#DIV/0!</v>
      </c>
      <c r="M78" s="9" t="e">
        <f>AVERAGE('77'!D2:D1000)</f>
        <v>#DIV/0!</v>
      </c>
      <c r="N78" s="9" t="e">
        <f>AVERAGE('77'!E2:E1000)</f>
        <v>#DIV/0!</v>
      </c>
      <c r="O78" s="10" t="e">
        <f t="shared" si="10"/>
        <v>#DIV/0!</v>
      </c>
      <c r="P78">
        <f>'77'!H1-2</f>
        <v>0</v>
      </c>
      <c r="Q78">
        <f>'77'!P1-2</f>
        <v>0</v>
      </c>
    </row>
    <row r="79" spans="1:17" x14ac:dyDescent="0.3">
      <c r="A79" s="8">
        <v>78</v>
      </c>
      <c r="H79">
        <f t="shared" si="7"/>
        <v>1</v>
      </c>
      <c r="I79">
        <f t="shared" si="8"/>
        <v>0</v>
      </c>
      <c r="J79">
        <v>145</v>
      </c>
      <c r="K79">
        <f t="shared" si="9"/>
        <v>0</v>
      </c>
      <c r="L79" s="9" t="e">
        <f>AVERAGE('78'!C2:C1000)</f>
        <v>#DIV/0!</v>
      </c>
      <c r="M79" s="9" t="e">
        <f>AVERAGE('78'!D2:D1000)</f>
        <v>#DIV/0!</v>
      </c>
      <c r="N79" s="9" t="e">
        <f>AVERAGE('78'!E2:E1000)</f>
        <v>#DIV/0!</v>
      </c>
      <c r="O79" s="10" t="e">
        <f t="shared" si="10"/>
        <v>#DIV/0!</v>
      </c>
      <c r="P79">
        <f>'78'!H1-2</f>
        <v>0</v>
      </c>
      <c r="Q79">
        <f>'78'!P1-2</f>
        <v>0</v>
      </c>
    </row>
    <row r="80" spans="1:17" x14ac:dyDescent="0.3">
      <c r="A80" s="8">
        <v>79</v>
      </c>
      <c r="H80">
        <f t="shared" si="7"/>
        <v>1</v>
      </c>
      <c r="I80">
        <f t="shared" si="8"/>
        <v>0</v>
      </c>
      <c r="J80">
        <v>78</v>
      </c>
      <c r="K80">
        <f t="shared" si="9"/>
        <v>0</v>
      </c>
      <c r="L80" s="9" t="e">
        <f>AVERAGE('79'!C2:C1000)</f>
        <v>#DIV/0!</v>
      </c>
      <c r="M80" s="9" t="e">
        <f>AVERAGE('79'!D2:D1000)</f>
        <v>#DIV/0!</v>
      </c>
      <c r="N80" s="9" t="e">
        <f>AVERAGE('79'!E2:E1000)</f>
        <v>#DIV/0!</v>
      </c>
      <c r="O80" s="10" t="e">
        <f t="shared" si="10"/>
        <v>#DIV/0!</v>
      </c>
      <c r="P80">
        <f>'79'!H1-2</f>
        <v>0</v>
      </c>
      <c r="Q80">
        <f>'79'!P1-2</f>
        <v>0</v>
      </c>
    </row>
    <row r="81" spans="1:17" x14ac:dyDescent="0.3">
      <c r="A81" s="8">
        <v>80</v>
      </c>
      <c r="H81">
        <f t="shared" si="7"/>
        <v>1</v>
      </c>
      <c r="I81">
        <f t="shared" si="8"/>
        <v>0</v>
      </c>
      <c r="J81">
        <v>120</v>
      </c>
      <c r="K81">
        <f t="shared" si="9"/>
        <v>0</v>
      </c>
      <c r="L81" s="9" t="e">
        <f>AVERAGE('80'!C2:C1000)</f>
        <v>#DIV/0!</v>
      </c>
      <c r="M81" s="9" t="e">
        <f>AVERAGE('80'!D2:D1000)</f>
        <v>#DIV/0!</v>
      </c>
      <c r="N81" s="9" t="e">
        <f>AVERAGE('80'!E2:E1000)</f>
        <v>#DIV/0!</v>
      </c>
      <c r="O81" s="10" t="e">
        <f t="shared" si="10"/>
        <v>#DIV/0!</v>
      </c>
      <c r="P81">
        <f>'80'!H1-2</f>
        <v>0</v>
      </c>
      <c r="Q81">
        <f>'80'!P1-2</f>
        <v>0</v>
      </c>
    </row>
    <row r="82" spans="1:17" x14ac:dyDescent="0.3">
      <c r="A82" s="8">
        <v>81</v>
      </c>
      <c r="H82">
        <f t="shared" si="7"/>
        <v>1</v>
      </c>
      <c r="I82">
        <f t="shared" si="8"/>
        <v>0</v>
      </c>
      <c r="J82">
        <v>115</v>
      </c>
      <c r="K82">
        <f t="shared" si="9"/>
        <v>0</v>
      </c>
      <c r="L82" s="9" t="e">
        <f>AVERAGE('81'!C2:C1000)</f>
        <v>#DIV/0!</v>
      </c>
      <c r="M82" s="9" t="e">
        <f>AVERAGE('81'!D2:D1000)</f>
        <v>#DIV/0!</v>
      </c>
      <c r="N82" s="9" t="e">
        <f>AVERAGE('81'!E2:E1000)</f>
        <v>#DIV/0!</v>
      </c>
      <c r="O82" s="10" t="e">
        <f t="shared" si="10"/>
        <v>#DIV/0!</v>
      </c>
      <c r="P82">
        <f>'81'!H1-2</f>
        <v>0</v>
      </c>
      <c r="Q82">
        <f>'81'!P1-2</f>
        <v>0</v>
      </c>
    </row>
    <row r="83" spans="1:17" x14ac:dyDescent="0.3">
      <c r="A83" s="8">
        <v>82</v>
      </c>
      <c r="H83">
        <f t="shared" si="7"/>
        <v>1</v>
      </c>
      <c r="I83">
        <f t="shared" si="8"/>
        <v>0</v>
      </c>
      <c r="J83">
        <v>106</v>
      </c>
      <c r="K83">
        <f t="shared" si="9"/>
        <v>0</v>
      </c>
      <c r="L83" s="9" t="e">
        <f>AVERAGE('82'!C2:C1000)</f>
        <v>#DIV/0!</v>
      </c>
      <c r="M83" s="9" t="e">
        <f>AVERAGE('82'!D2:D1000)</f>
        <v>#DIV/0!</v>
      </c>
      <c r="N83" s="9" t="e">
        <f>AVERAGE('82'!E2:E1000)</f>
        <v>#DIV/0!</v>
      </c>
      <c r="O83" s="10" t="e">
        <f t="shared" si="10"/>
        <v>#DIV/0!</v>
      </c>
      <c r="P83">
        <f>'82'!H1-2</f>
        <v>0</v>
      </c>
      <c r="Q83">
        <f>'82'!P1-2</f>
        <v>0</v>
      </c>
    </row>
    <row r="84" spans="1:17" x14ac:dyDescent="0.3">
      <c r="A84" s="8">
        <v>83</v>
      </c>
      <c r="H84">
        <f t="shared" si="7"/>
        <v>1</v>
      </c>
      <c r="I84">
        <f t="shared" si="8"/>
        <v>0</v>
      </c>
      <c r="J84">
        <v>121</v>
      </c>
      <c r="K84">
        <f t="shared" si="9"/>
        <v>0</v>
      </c>
      <c r="L84" s="9" t="e">
        <f>AVERAGE('83'!C2:C1000)</f>
        <v>#DIV/0!</v>
      </c>
      <c r="M84" s="9" t="e">
        <f>AVERAGE('83'!D2:D1000)</f>
        <v>#DIV/0!</v>
      </c>
      <c r="N84" s="9" t="e">
        <f>AVERAGE('83'!E2:E1000)</f>
        <v>#DIV/0!</v>
      </c>
      <c r="O84" s="10" t="e">
        <f t="shared" si="10"/>
        <v>#DIV/0!</v>
      </c>
      <c r="P84">
        <f>'83'!H1-2</f>
        <v>0</v>
      </c>
      <c r="Q84">
        <f>'83'!P1-2</f>
        <v>0</v>
      </c>
    </row>
    <row r="85" spans="1:17" x14ac:dyDescent="0.3">
      <c r="A85" s="8">
        <v>84</v>
      </c>
      <c r="H85">
        <f t="shared" si="7"/>
        <v>1</v>
      </c>
      <c r="I85">
        <f t="shared" si="8"/>
        <v>0</v>
      </c>
      <c r="J85">
        <v>100</v>
      </c>
      <c r="K85">
        <f t="shared" si="9"/>
        <v>0</v>
      </c>
      <c r="L85" s="9" t="e">
        <f>AVERAGE('84'!C2:C1000)</f>
        <v>#DIV/0!</v>
      </c>
      <c r="M85" s="9" t="e">
        <f>AVERAGE('84'!D2:D1000)</f>
        <v>#DIV/0!</v>
      </c>
      <c r="N85" s="9" t="e">
        <f>AVERAGE('84'!E2:E1000)</f>
        <v>#DIV/0!</v>
      </c>
      <c r="O85" s="10" t="e">
        <f t="shared" si="10"/>
        <v>#DIV/0!</v>
      </c>
      <c r="P85">
        <f>'84'!H1-2</f>
        <v>0</v>
      </c>
      <c r="Q85">
        <f>'84'!P1-2</f>
        <v>0</v>
      </c>
    </row>
    <row r="86" spans="1:17" x14ac:dyDescent="0.3">
      <c r="A86" s="8">
        <v>85</v>
      </c>
      <c r="H86">
        <f t="shared" si="7"/>
        <v>1</v>
      </c>
      <c r="I86">
        <f t="shared" si="8"/>
        <v>0</v>
      </c>
      <c r="J86">
        <v>178</v>
      </c>
      <c r="K86">
        <f t="shared" si="9"/>
        <v>0</v>
      </c>
      <c r="L86" s="9" t="e">
        <f>AVERAGE('85'!C2:C1000)</f>
        <v>#DIV/0!</v>
      </c>
      <c r="M86" s="9" t="e">
        <f>AVERAGE('85'!D2:D1000)</f>
        <v>#DIV/0!</v>
      </c>
      <c r="N86" s="9" t="e">
        <f>AVERAGE('85'!E2:E1000)</f>
        <v>#DIV/0!</v>
      </c>
      <c r="O86" s="10" t="e">
        <f t="shared" si="10"/>
        <v>#DIV/0!</v>
      </c>
      <c r="P86">
        <f>'85'!H1-2</f>
        <v>0</v>
      </c>
      <c r="Q86">
        <f>'85'!P1-2</f>
        <v>0</v>
      </c>
    </row>
    <row r="87" spans="1:17" x14ac:dyDescent="0.3">
      <c r="A87" s="8">
        <v>86</v>
      </c>
      <c r="H87">
        <f t="shared" si="7"/>
        <v>1</v>
      </c>
      <c r="I87">
        <f t="shared" si="8"/>
        <v>0</v>
      </c>
      <c r="J87">
        <v>157</v>
      </c>
      <c r="K87">
        <f t="shared" si="9"/>
        <v>0</v>
      </c>
      <c r="L87" s="9" t="e">
        <f>AVERAGE('86'!C2:C1000)</f>
        <v>#DIV/0!</v>
      </c>
      <c r="M87" s="9" t="e">
        <f>AVERAGE('86'!D2:D1000)</f>
        <v>#DIV/0!</v>
      </c>
      <c r="N87" s="9" t="e">
        <f>AVERAGE('86'!E2:E1000)</f>
        <v>#DIV/0!</v>
      </c>
      <c r="O87" s="10" t="e">
        <f t="shared" si="10"/>
        <v>#DIV/0!</v>
      </c>
      <c r="P87">
        <f>'86'!H1-2</f>
        <v>0</v>
      </c>
      <c r="Q87">
        <f>'86'!P1-2</f>
        <v>0</v>
      </c>
    </row>
    <row r="88" spans="1:17" x14ac:dyDescent="0.3">
      <c r="A88" s="8">
        <v>87</v>
      </c>
      <c r="H88">
        <f t="shared" si="7"/>
        <v>1</v>
      </c>
      <c r="I88">
        <f t="shared" si="8"/>
        <v>0</v>
      </c>
      <c r="J88">
        <v>58</v>
      </c>
      <c r="K88">
        <f t="shared" si="9"/>
        <v>0</v>
      </c>
      <c r="L88" s="9" t="e">
        <f>AVERAGE('87'!C2:C1000)</f>
        <v>#DIV/0!</v>
      </c>
      <c r="M88" s="9" t="e">
        <f>AVERAGE('87'!D2:D1000)</f>
        <v>#DIV/0!</v>
      </c>
      <c r="N88" s="9" t="e">
        <f>AVERAGE('87'!E2:E1000)</f>
        <v>#DIV/0!</v>
      </c>
      <c r="O88" s="10" t="e">
        <f t="shared" si="10"/>
        <v>#DIV/0!</v>
      </c>
      <c r="P88">
        <f>'87'!H1-2</f>
        <v>0</v>
      </c>
      <c r="Q88">
        <f>'87'!P1-2</f>
        <v>0</v>
      </c>
    </row>
    <row r="89" spans="1:17" x14ac:dyDescent="0.3">
      <c r="A89" s="8">
        <v>88</v>
      </c>
      <c r="H89">
        <f t="shared" si="7"/>
        <v>1</v>
      </c>
      <c r="I89">
        <f t="shared" si="8"/>
        <v>0</v>
      </c>
      <c r="J89">
        <v>135</v>
      </c>
      <c r="K89">
        <f t="shared" si="9"/>
        <v>0</v>
      </c>
      <c r="L89" s="9" t="e">
        <f>AVERAGE('88'!C2:C1000)</f>
        <v>#DIV/0!</v>
      </c>
      <c r="M89" s="9" t="e">
        <f>AVERAGE('88'!D2:D1000)</f>
        <v>#DIV/0!</v>
      </c>
      <c r="N89" s="9" t="e">
        <f>AVERAGE('88'!E2:E1000)</f>
        <v>#DIV/0!</v>
      </c>
      <c r="O89" s="10" t="e">
        <f t="shared" si="10"/>
        <v>#DIV/0!</v>
      </c>
      <c r="P89">
        <f>'88'!H1-2</f>
        <v>0</v>
      </c>
      <c r="Q89">
        <f>'88'!P1-2</f>
        <v>0</v>
      </c>
    </row>
    <row r="90" spans="1:17" x14ac:dyDescent="0.3">
      <c r="A90" s="8">
        <v>89</v>
      </c>
      <c r="H90">
        <f t="shared" si="7"/>
        <v>1</v>
      </c>
      <c r="I90">
        <f t="shared" si="8"/>
        <v>0</v>
      </c>
      <c r="J90">
        <v>52</v>
      </c>
      <c r="K90">
        <f t="shared" si="9"/>
        <v>0</v>
      </c>
      <c r="L90" s="9" t="e">
        <f>AVERAGE('89'!C2:C1000)</f>
        <v>#DIV/0!</v>
      </c>
      <c r="M90" s="9" t="e">
        <f>AVERAGE('89'!D2:D1000)</f>
        <v>#DIV/0!</v>
      </c>
      <c r="N90" s="9" t="e">
        <f>AVERAGE('89'!E2:E1000)</f>
        <v>#DIV/0!</v>
      </c>
      <c r="O90" s="10" t="e">
        <f t="shared" si="10"/>
        <v>#DIV/0!</v>
      </c>
      <c r="P90">
        <f>'89'!H1-2</f>
        <v>0</v>
      </c>
      <c r="Q90">
        <f>'89'!P1-2</f>
        <v>0</v>
      </c>
    </row>
    <row r="91" spans="1:17" x14ac:dyDescent="0.3">
      <c r="A91" s="8">
        <v>90</v>
      </c>
      <c r="H91">
        <f t="shared" si="7"/>
        <v>1</v>
      </c>
      <c r="I91">
        <f t="shared" si="8"/>
        <v>0</v>
      </c>
      <c r="J91">
        <v>52</v>
      </c>
      <c r="K91">
        <f t="shared" si="9"/>
        <v>0</v>
      </c>
      <c r="L91" s="9" t="e">
        <f>AVERAGE('90'!C2:C1000)</f>
        <v>#DIV/0!</v>
      </c>
      <c r="M91" s="9" t="e">
        <f>AVERAGE('90'!D2:D1000)</f>
        <v>#DIV/0!</v>
      </c>
      <c r="N91" s="9" t="e">
        <f>AVERAGE('90'!E2:E1000)</f>
        <v>#DIV/0!</v>
      </c>
      <c r="O91" s="10" t="e">
        <f t="shared" si="10"/>
        <v>#DIV/0!</v>
      </c>
      <c r="P91">
        <f>'90'!H1-2</f>
        <v>0</v>
      </c>
      <c r="Q91">
        <f>'90'!P1-2</f>
        <v>0</v>
      </c>
    </row>
    <row r="92" spans="1:17" x14ac:dyDescent="0.3">
      <c r="A92" s="8">
        <v>91</v>
      </c>
      <c r="H92">
        <f t="shared" si="7"/>
        <v>1</v>
      </c>
      <c r="I92">
        <f t="shared" si="8"/>
        <v>0</v>
      </c>
      <c r="J92">
        <v>228</v>
      </c>
      <c r="K92">
        <f t="shared" si="9"/>
        <v>0</v>
      </c>
      <c r="L92" s="9" t="e">
        <f>AVERAGE('91'!C2:C1000)</f>
        <v>#DIV/0!</v>
      </c>
      <c r="M92" s="9" t="e">
        <f>AVERAGE('91'!D2:D1000)</f>
        <v>#DIV/0!</v>
      </c>
      <c r="N92" s="9" t="e">
        <f>AVERAGE('91'!E2:E1000)</f>
        <v>#DIV/0!</v>
      </c>
      <c r="O92" s="10" t="e">
        <f t="shared" si="10"/>
        <v>#DIV/0!</v>
      </c>
      <c r="P92">
        <f>'91'!H1-2</f>
        <v>0</v>
      </c>
      <c r="Q92">
        <f>'91'!P1-2</f>
        <v>0</v>
      </c>
    </row>
    <row r="93" spans="1:17" x14ac:dyDescent="0.3">
      <c r="A93" s="8">
        <v>92</v>
      </c>
      <c r="H93">
        <f t="shared" si="7"/>
        <v>1</v>
      </c>
      <c r="I93">
        <f t="shared" si="8"/>
        <v>0</v>
      </c>
      <c r="J93">
        <v>215</v>
      </c>
      <c r="K93">
        <f t="shared" si="9"/>
        <v>0</v>
      </c>
      <c r="L93" s="9" t="e">
        <f>AVERAGE('92'!C2:C1000)</f>
        <v>#DIV/0!</v>
      </c>
      <c r="M93" s="9" t="e">
        <f>AVERAGE('92'!D2:D1000)</f>
        <v>#DIV/0!</v>
      </c>
      <c r="N93" s="9" t="e">
        <f>AVERAGE('92'!E2:E1000)</f>
        <v>#DIV/0!</v>
      </c>
      <c r="O93" s="10" t="e">
        <f t="shared" si="10"/>
        <v>#DIV/0!</v>
      </c>
      <c r="P93">
        <f>'92'!H1-2</f>
        <v>0</v>
      </c>
      <c r="Q93">
        <f>'92'!P1-2</f>
        <v>0</v>
      </c>
    </row>
    <row r="94" spans="1:17" x14ac:dyDescent="0.3">
      <c r="A94" s="8">
        <v>93</v>
      </c>
      <c r="H94">
        <f t="shared" si="7"/>
        <v>1</v>
      </c>
      <c r="I94">
        <f t="shared" si="8"/>
        <v>0</v>
      </c>
      <c r="J94">
        <v>119</v>
      </c>
      <c r="K94">
        <f t="shared" si="9"/>
        <v>0</v>
      </c>
      <c r="L94" s="9" t="e">
        <f>AVERAGE('93'!C2:C1000)</f>
        <v>#DIV/0!</v>
      </c>
      <c r="M94" s="9" t="e">
        <f>AVERAGE('93'!D2:D1000)</f>
        <v>#DIV/0!</v>
      </c>
      <c r="N94" s="9" t="e">
        <f>AVERAGE('93'!E2:E1000)</f>
        <v>#DIV/0!</v>
      </c>
      <c r="O94" s="10" t="e">
        <f t="shared" si="10"/>
        <v>#DIV/0!</v>
      </c>
      <c r="P94">
        <f>'93'!H1-2</f>
        <v>0</v>
      </c>
      <c r="Q94">
        <f>'93'!P1-2</f>
        <v>0</v>
      </c>
    </row>
    <row r="95" spans="1:17" x14ac:dyDescent="0.3">
      <c r="A95" s="8">
        <v>94</v>
      </c>
      <c r="H95">
        <f t="shared" si="7"/>
        <v>1</v>
      </c>
      <c r="I95">
        <f t="shared" si="8"/>
        <v>0</v>
      </c>
      <c r="J95">
        <v>159</v>
      </c>
      <c r="K95">
        <f t="shared" si="9"/>
        <v>0</v>
      </c>
      <c r="L95" s="9" t="e">
        <f>AVERAGE('94'!C2:C1000)</f>
        <v>#DIV/0!</v>
      </c>
      <c r="M95" s="9" t="e">
        <f>AVERAGE('94'!D2:D1000)</f>
        <v>#DIV/0!</v>
      </c>
      <c r="N95" s="9" t="e">
        <f>AVERAGE('94'!E2:E1000)</f>
        <v>#DIV/0!</v>
      </c>
      <c r="O95" s="10" t="e">
        <f t="shared" si="10"/>
        <v>#DIV/0!</v>
      </c>
      <c r="P95">
        <f>'94'!H1-2</f>
        <v>0</v>
      </c>
      <c r="Q95">
        <f>'94'!P1-2</f>
        <v>0</v>
      </c>
    </row>
    <row r="96" spans="1:17" x14ac:dyDescent="0.3">
      <c r="A96" s="8">
        <v>95</v>
      </c>
      <c r="H96">
        <f t="shared" si="7"/>
        <v>1</v>
      </c>
      <c r="I96">
        <f t="shared" si="8"/>
        <v>0</v>
      </c>
      <c r="J96">
        <v>167</v>
      </c>
      <c r="K96">
        <f t="shared" si="9"/>
        <v>0</v>
      </c>
      <c r="L96" s="9" t="e">
        <f>AVERAGE('95'!C2:C1000)</f>
        <v>#DIV/0!</v>
      </c>
      <c r="M96" s="9" t="e">
        <f>AVERAGE('95'!D2:D1000)</f>
        <v>#DIV/0!</v>
      </c>
      <c r="N96" s="9" t="e">
        <f>AVERAGE('95'!E2:E1000)</f>
        <v>#DIV/0!</v>
      </c>
      <c r="O96" s="10" t="e">
        <f t="shared" si="10"/>
        <v>#DIV/0!</v>
      </c>
      <c r="P96">
        <f>'95'!H1-2</f>
        <v>0</v>
      </c>
      <c r="Q96">
        <f>'95'!P1-2</f>
        <v>0</v>
      </c>
    </row>
    <row r="97" spans="1:17" x14ac:dyDescent="0.3">
      <c r="A97" s="8">
        <v>96</v>
      </c>
      <c r="H97">
        <f t="shared" si="7"/>
        <v>1</v>
      </c>
      <c r="I97">
        <f t="shared" si="8"/>
        <v>0</v>
      </c>
      <c r="J97">
        <v>999</v>
      </c>
      <c r="K97">
        <f t="shared" si="9"/>
        <v>0</v>
      </c>
      <c r="L97" s="9" t="e">
        <f>AVERAGE('96'!C2:C1000)</f>
        <v>#DIV/0!</v>
      </c>
      <c r="M97" s="9" t="e">
        <f>AVERAGE('96'!D2:D1000)</f>
        <v>#DIV/0!</v>
      </c>
      <c r="N97" s="9" t="e">
        <f>AVERAGE('96'!E2:E1000)</f>
        <v>#DIV/0!</v>
      </c>
      <c r="O97" s="10" t="e">
        <f t="shared" si="10"/>
        <v>#DIV/0!</v>
      </c>
      <c r="P97">
        <f>'96'!H1-2</f>
        <v>0</v>
      </c>
      <c r="Q97">
        <f>'96'!P1-2</f>
        <v>0</v>
      </c>
    </row>
    <row r="98" spans="1:17" x14ac:dyDescent="0.3">
      <c r="A98" s="8">
        <v>97</v>
      </c>
      <c r="H98">
        <f t="shared" si="7"/>
        <v>1</v>
      </c>
      <c r="I98">
        <f t="shared" si="8"/>
        <v>0</v>
      </c>
      <c r="J98">
        <v>999</v>
      </c>
      <c r="K98">
        <f t="shared" si="9"/>
        <v>0</v>
      </c>
      <c r="L98" s="9" t="e">
        <f>AVERAGE('97'!C2:C1000)</f>
        <v>#DIV/0!</v>
      </c>
      <c r="M98" s="9" t="e">
        <f>AVERAGE('97'!D2:D1000)</f>
        <v>#DIV/0!</v>
      </c>
      <c r="N98" s="9" t="e">
        <f>AVERAGE('97'!E2:E1000)</f>
        <v>#DIV/0!</v>
      </c>
      <c r="O98" s="10" t="e">
        <f t="shared" si="10"/>
        <v>#DIV/0!</v>
      </c>
      <c r="P98">
        <f>'97'!H1-2</f>
        <v>0</v>
      </c>
      <c r="Q98">
        <f>'97'!P1-2</f>
        <v>0</v>
      </c>
    </row>
    <row r="99" spans="1:17" x14ac:dyDescent="0.3">
      <c r="A99" s="8">
        <v>98</v>
      </c>
      <c r="H99">
        <f t="shared" si="7"/>
        <v>1</v>
      </c>
      <c r="I99">
        <f t="shared" si="8"/>
        <v>0</v>
      </c>
      <c r="J99">
        <v>999</v>
      </c>
      <c r="K99">
        <f t="shared" si="9"/>
        <v>0</v>
      </c>
      <c r="L99" s="9" t="e">
        <f>AVERAGE('98'!C2:C1000)</f>
        <v>#DIV/0!</v>
      </c>
      <c r="M99" s="9" t="e">
        <f>AVERAGE('98'!D2:D1000)</f>
        <v>#DIV/0!</v>
      </c>
      <c r="N99" s="9" t="e">
        <f>AVERAGE('98'!E2:E1000)</f>
        <v>#DIV/0!</v>
      </c>
      <c r="O99" s="10" t="e">
        <f t="shared" si="10"/>
        <v>#DIV/0!</v>
      </c>
      <c r="P99">
        <f>'98'!H1-2</f>
        <v>0</v>
      </c>
      <c r="Q99">
        <f>'98'!P1-2</f>
        <v>0</v>
      </c>
    </row>
    <row r="100" spans="1:17" x14ac:dyDescent="0.3">
      <c r="A100" s="8">
        <v>99</v>
      </c>
      <c r="H100">
        <f t="shared" si="7"/>
        <v>1</v>
      </c>
      <c r="I100">
        <f t="shared" si="8"/>
        <v>0</v>
      </c>
      <c r="J100">
        <v>999</v>
      </c>
      <c r="K100">
        <f t="shared" si="9"/>
        <v>0</v>
      </c>
      <c r="L100" s="9" t="e">
        <f>AVERAGE('99'!C2:C1000)</f>
        <v>#DIV/0!</v>
      </c>
      <c r="M100" s="9" t="e">
        <f>AVERAGE('99'!D2:D1000)</f>
        <v>#DIV/0!</v>
      </c>
      <c r="N100" s="9" t="e">
        <f>AVERAGE('99'!E2:E1000)</f>
        <v>#DIV/0!</v>
      </c>
      <c r="O100" s="10" t="e">
        <f t="shared" si="10"/>
        <v>#DIV/0!</v>
      </c>
      <c r="P100">
        <f>'99'!H1-2</f>
        <v>0</v>
      </c>
      <c r="Q100">
        <f>'99'!P1-2</f>
        <v>0</v>
      </c>
    </row>
    <row r="101" spans="1:17" x14ac:dyDescent="0.3">
      <c r="A101">
        <v>100</v>
      </c>
      <c r="B101" t="s">
        <v>1</v>
      </c>
      <c r="C101">
        <v>42</v>
      </c>
      <c r="D101">
        <v>0.25</v>
      </c>
      <c r="E101">
        <v>18</v>
      </c>
      <c r="F101" t="s">
        <v>23</v>
      </c>
      <c r="G101"/>
      <c r="H101">
        <f t="shared" ref="H101" si="11">IF(LEN(F101)=C101,1,0)</f>
        <v>1</v>
      </c>
      <c r="I101">
        <f t="shared" ref="I101" si="12">E101-(D101*C101)</f>
        <v>7.5</v>
      </c>
      <c r="J101">
        <v>42</v>
      </c>
      <c r="K101">
        <f t="shared" si="9"/>
        <v>0.5</v>
      </c>
      <c r="L101" s="9" t="e">
        <f>AVERAGE('100'!C2:C1000)</f>
        <v>#DIV/0!</v>
      </c>
      <c r="M101" s="9" t="e">
        <f>AVERAGE('100'!D2:D1000)</f>
        <v>#DIV/0!</v>
      </c>
      <c r="N101" s="9" t="e">
        <f>AVERAGE('100'!E2:E1000)</f>
        <v>#DIV/0!</v>
      </c>
      <c r="O101" s="10" t="e">
        <f t="shared" si="10"/>
        <v>#DIV/0!</v>
      </c>
      <c r="P101">
        <f>'100'!H1-2</f>
        <v>0</v>
      </c>
      <c r="Q101">
        <f>'100'!P1-2</f>
        <v>0</v>
      </c>
    </row>
    <row r="102" spans="1:17" x14ac:dyDescent="0.3">
      <c r="A102">
        <v>101</v>
      </c>
      <c r="B102" t="s">
        <v>1</v>
      </c>
      <c r="C102">
        <v>251</v>
      </c>
      <c r="D102">
        <v>0.25</v>
      </c>
      <c r="E102">
        <v>150.74</v>
      </c>
      <c r="F102" t="s">
        <v>150</v>
      </c>
      <c r="G102">
        <v>-618038451</v>
      </c>
      <c r="H102">
        <f t="shared" ref="H102" si="13">IF(LEN(F102)=C102,1,0)</f>
        <v>1</v>
      </c>
      <c r="I102">
        <f t="shared" ref="I102" si="14">E102-(D102*C102)</f>
        <v>87.990000000000009</v>
      </c>
      <c r="J102">
        <v>251</v>
      </c>
      <c r="K102">
        <f t="shared" ref="K102" si="15">IF(C102&gt;0,IF(C102&lt;J102,1,IF(C102=J102,0.5,0)),0)</f>
        <v>0.5</v>
      </c>
      <c r="L102" s="9" t="e">
        <f>AVERAGE('101'!C3:C1000)</f>
        <v>#DIV/0!</v>
      </c>
      <c r="M102" s="9" t="e">
        <f>AVERAGE('101'!D3:D1000)</f>
        <v>#DIV/0!</v>
      </c>
      <c r="N102" s="9" t="e">
        <f>AVERAGE('101'!E3:E1000)</f>
        <v>#DIV/0!</v>
      </c>
      <c r="O102" s="10" t="e">
        <f t="shared" si="10"/>
        <v>#DIV/0!</v>
      </c>
      <c r="P102">
        <f>'101'!H1-2</f>
        <v>1</v>
      </c>
      <c r="Q102">
        <f>'101'!P1-2</f>
        <v>0</v>
      </c>
    </row>
    <row r="103" spans="1:17" x14ac:dyDescent="0.3">
      <c r="J103" t="s">
        <v>6</v>
      </c>
      <c r="L103" s="36" t="s">
        <v>22</v>
      </c>
      <c r="M103" s="36"/>
      <c r="N103" s="36"/>
    </row>
  </sheetData>
  <sortState ref="R9:T29">
    <sortCondition ref="T9:T29"/>
  </sortState>
  <mergeCells count="1">
    <mergeCell ref="L103:N103"/>
  </mergeCells>
  <conditionalFormatting sqref="P2:Q10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0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10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10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5">
    <cfRule type="cellIs" dxfId="310" priority="9" operator="equal">
      <formula>"true"</formula>
    </cfRule>
  </conditionalFormatting>
  <conditionalFormatting sqref="B76">
    <cfRule type="cellIs" dxfId="309" priority="8" operator="equal">
      <formula>"true"</formula>
    </cfRule>
  </conditionalFormatting>
  <conditionalFormatting sqref="B77">
    <cfRule type="cellIs" dxfId="308" priority="7" operator="equal">
      <formula>"true"</formula>
    </cfRule>
  </conditionalFormatting>
  <conditionalFormatting sqref="P2:P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2">
    <cfRule type="colorScale" priority="5">
      <colorScale>
        <cfvo type="min"/>
        <cfvo type="max"/>
        <color rgb="FFFCFCFF"/>
        <color rgb="FF63BE7B"/>
      </colorScale>
    </cfRule>
  </conditionalFormatting>
  <conditionalFormatting sqref="B40">
    <cfRule type="cellIs" dxfId="307" priority="4" operator="equal">
      <formula>"TRUE"</formula>
    </cfRule>
  </conditionalFormatting>
  <conditionalFormatting sqref="B62">
    <cfRule type="cellIs" dxfId="306" priority="3" operator="equal">
      <formula>"TRUE"</formula>
    </cfRule>
  </conditionalFormatting>
  <conditionalFormatting sqref="B64">
    <cfRule type="cellIs" dxfId="305" priority="2" operator="equal">
      <formula>"TRUE"</formula>
    </cfRule>
  </conditionalFormatting>
  <conditionalFormatting sqref="B63">
    <cfRule type="cellIs" dxfId="304" priority="1" operator="equal">
      <formula>"TRUE"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D436C-23F8-469E-BA4F-E94082E24191}">
  <sheetPr codeName="Blad10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F632E-72FB-47EF-B8DB-DA62DE54174C}">
  <sheetPr codeName="Blad2"/>
  <dimension ref="A1:P11"/>
  <sheetViews>
    <sheetView workbookViewId="0"/>
  </sheetViews>
  <sheetFormatPr defaultRowHeight="14.4" x14ac:dyDescent="0.3"/>
  <sheetData>
    <row r="1" spans="1:16" x14ac:dyDescent="0.3">
      <c r="H1">
        <v>12</v>
      </c>
      <c r="P1">
        <v>3</v>
      </c>
    </row>
    <row r="2" spans="1:16" x14ac:dyDescent="0.3">
      <c r="A2" s="18">
        <v>1</v>
      </c>
      <c r="B2" s="18" t="s">
        <v>1</v>
      </c>
      <c r="C2" s="18">
        <v>10</v>
      </c>
      <c r="D2" s="18">
        <v>0.25</v>
      </c>
      <c r="E2" s="18">
        <v>3.56</v>
      </c>
      <c r="F2" s="18" t="s">
        <v>19</v>
      </c>
      <c r="G2" s="18" t="s">
        <v>18</v>
      </c>
      <c r="I2" s="20">
        <v>1</v>
      </c>
      <c r="J2" s="20" t="s">
        <v>40</v>
      </c>
      <c r="K2" s="20">
        <v>11</v>
      </c>
      <c r="L2" s="20">
        <v>0.25</v>
      </c>
      <c r="M2" s="20">
        <v>9</v>
      </c>
      <c r="N2" s="20" t="s">
        <v>287</v>
      </c>
      <c r="O2" s="20">
        <v>39513529</v>
      </c>
    </row>
    <row r="3" spans="1:16" x14ac:dyDescent="0.3">
      <c r="A3" s="18">
        <v>1</v>
      </c>
      <c r="B3" s="18" t="s">
        <v>1</v>
      </c>
      <c r="C3" s="18">
        <v>16</v>
      </c>
      <c r="D3" s="18">
        <v>0.25</v>
      </c>
      <c r="E3" s="18">
        <v>5.5</v>
      </c>
      <c r="F3" s="18" t="s">
        <v>36</v>
      </c>
      <c r="G3" s="18" t="s">
        <v>18</v>
      </c>
    </row>
    <row r="4" spans="1:16" x14ac:dyDescent="0.3">
      <c r="A4" s="18">
        <v>1</v>
      </c>
      <c r="B4" s="18" t="s">
        <v>1</v>
      </c>
      <c r="C4" s="18">
        <v>10</v>
      </c>
      <c r="D4" s="18">
        <v>1E-3</v>
      </c>
      <c r="E4" s="18">
        <v>2.4600029999999999</v>
      </c>
      <c r="F4" s="18" t="s">
        <v>19</v>
      </c>
      <c r="G4" s="18" t="s">
        <v>18</v>
      </c>
    </row>
    <row r="5" spans="1:16" x14ac:dyDescent="0.3">
      <c r="A5" s="18">
        <v>1</v>
      </c>
      <c r="B5" s="18" t="s">
        <v>1</v>
      </c>
      <c r="C5" s="18">
        <v>10</v>
      </c>
      <c r="D5" s="18">
        <v>0.25</v>
      </c>
      <c r="E5" s="18">
        <v>5</v>
      </c>
      <c r="F5" s="18" t="s">
        <v>19</v>
      </c>
      <c r="G5" s="18" t="s">
        <v>18</v>
      </c>
    </row>
    <row r="6" spans="1:16" x14ac:dyDescent="0.3">
      <c r="A6" s="18">
        <v>1</v>
      </c>
      <c r="B6" s="18" t="s">
        <v>1</v>
      </c>
      <c r="C6" s="18">
        <v>10</v>
      </c>
      <c r="D6" s="18">
        <v>0.25</v>
      </c>
      <c r="E6" s="18">
        <v>8.2200009999999999</v>
      </c>
      <c r="F6" s="18" t="s">
        <v>19</v>
      </c>
      <c r="G6" s="18" t="s">
        <v>18</v>
      </c>
    </row>
    <row r="7" spans="1:16" x14ac:dyDescent="0.3">
      <c r="A7" s="6">
        <v>1</v>
      </c>
      <c r="B7" s="6" t="s">
        <v>1</v>
      </c>
      <c r="C7" s="6">
        <v>11</v>
      </c>
      <c r="D7" s="6">
        <v>0.25</v>
      </c>
      <c r="E7" s="6">
        <v>4.08</v>
      </c>
      <c r="F7" s="6" t="s">
        <v>122</v>
      </c>
      <c r="G7" s="6">
        <v>499873048</v>
      </c>
    </row>
    <row r="8" spans="1:16" x14ac:dyDescent="0.3">
      <c r="A8" s="6">
        <v>1</v>
      </c>
      <c r="B8" s="6" t="s">
        <v>1</v>
      </c>
      <c r="C8" s="6">
        <v>11</v>
      </c>
      <c r="D8" s="6">
        <v>0.25</v>
      </c>
      <c r="E8" s="6">
        <v>4.0399989999999999</v>
      </c>
      <c r="F8" s="6" t="s">
        <v>122</v>
      </c>
      <c r="G8" s="6">
        <v>-1255043675</v>
      </c>
    </row>
    <row r="9" spans="1:16" x14ac:dyDescent="0.3">
      <c r="A9" s="20">
        <v>1</v>
      </c>
      <c r="B9" s="20" t="s">
        <v>1</v>
      </c>
      <c r="C9" s="20">
        <v>13</v>
      </c>
      <c r="D9" s="20">
        <v>0.25</v>
      </c>
      <c r="E9" s="20">
        <v>11.54</v>
      </c>
      <c r="F9" s="20" t="s">
        <v>260</v>
      </c>
      <c r="G9" s="20">
        <v>28463194</v>
      </c>
    </row>
    <row r="10" spans="1:16" x14ac:dyDescent="0.3">
      <c r="A10" s="20">
        <v>1</v>
      </c>
      <c r="B10" s="20" t="s">
        <v>1</v>
      </c>
      <c r="C10" s="20">
        <v>12</v>
      </c>
      <c r="D10" s="20">
        <v>0.25</v>
      </c>
      <c r="E10" s="20">
        <v>5.7399899999999997</v>
      </c>
      <c r="F10" s="20" t="s">
        <v>288</v>
      </c>
      <c r="G10" s="20">
        <v>25719190</v>
      </c>
    </row>
    <row r="11" spans="1:16" x14ac:dyDescent="0.3">
      <c r="A11" s="8">
        <v>1</v>
      </c>
      <c r="B11" s="8" t="s">
        <v>1</v>
      </c>
      <c r="C11" s="8">
        <v>10</v>
      </c>
      <c r="D11" s="8">
        <v>0.25</v>
      </c>
      <c r="E11" s="8">
        <v>7.4400019999999998</v>
      </c>
      <c r="F11" s="8" t="s">
        <v>19</v>
      </c>
      <c r="G11" s="8">
        <v>94725236</v>
      </c>
    </row>
  </sheetData>
  <conditionalFormatting sqref="E2">
    <cfRule type="cellIs" dxfId="303" priority="33" operator="lessThan">
      <formula>0</formula>
    </cfRule>
  </conditionalFormatting>
  <conditionalFormatting sqref="C2">
    <cfRule type="cellIs" priority="32" operator="notBetween">
      <formula>0</formula>
      <formula>300</formula>
    </cfRule>
  </conditionalFormatting>
  <conditionalFormatting sqref="E2">
    <cfRule type="cellIs" dxfId="302" priority="31" operator="notBetween">
      <formula>0</formula>
      <formula>200</formula>
    </cfRule>
  </conditionalFormatting>
  <conditionalFormatting sqref="E3">
    <cfRule type="cellIs" dxfId="301" priority="30" operator="lessThan">
      <formula>0</formula>
    </cfRule>
  </conditionalFormatting>
  <conditionalFormatting sqref="C3">
    <cfRule type="cellIs" priority="29" operator="notBetween">
      <formula>0</formula>
      <formula>300</formula>
    </cfRule>
  </conditionalFormatting>
  <conditionalFormatting sqref="E3">
    <cfRule type="cellIs" dxfId="300" priority="28" operator="notBetween">
      <formula>0</formula>
      <formula>200</formula>
    </cfRule>
  </conditionalFormatting>
  <conditionalFormatting sqref="E4">
    <cfRule type="cellIs" dxfId="299" priority="27" operator="lessThan">
      <formula>0</formula>
    </cfRule>
  </conditionalFormatting>
  <conditionalFormatting sqref="C4">
    <cfRule type="cellIs" priority="26" operator="notBetween">
      <formula>0</formula>
      <formula>300</formula>
    </cfRule>
  </conditionalFormatting>
  <conditionalFormatting sqref="E4">
    <cfRule type="cellIs" dxfId="298" priority="25" operator="notBetween">
      <formula>0</formula>
      <formula>200</formula>
    </cfRule>
  </conditionalFormatting>
  <conditionalFormatting sqref="E5">
    <cfRule type="cellIs" dxfId="297" priority="24" operator="lessThan">
      <formula>0</formula>
    </cfRule>
  </conditionalFormatting>
  <conditionalFormatting sqref="C5">
    <cfRule type="cellIs" priority="23" operator="notBetween">
      <formula>0</formula>
      <formula>300</formula>
    </cfRule>
  </conditionalFormatting>
  <conditionalFormatting sqref="E5">
    <cfRule type="cellIs" dxfId="296" priority="22" operator="notBetween">
      <formula>0</formula>
      <formula>200</formula>
    </cfRule>
  </conditionalFormatting>
  <conditionalFormatting sqref="E6">
    <cfRule type="cellIs" dxfId="295" priority="21" operator="lessThan">
      <formula>0</formula>
    </cfRule>
  </conditionalFormatting>
  <conditionalFormatting sqref="C6">
    <cfRule type="cellIs" priority="20" operator="notBetween">
      <formula>0</formula>
      <formula>300</formula>
    </cfRule>
  </conditionalFormatting>
  <conditionalFormatting sqref="E6">
    <cfRule type="cellIs" dxfId="294" priority="19" operator="notBetween">
      <formula>0</formula>
      <formula>200</formula>
    </cfRule>
  </conditionalFormatting>
  <conditionalFormatting sqref="E7">
    <cfRule type="cellIs" dxfId="293" priority="18" operator="lessThan">
      <formula>0</formula>
    </cfRule>
  </conditionalFormatting>
  <conditionalFormatting sqref="C7">
    <cfRule type="cellIs" priority="17" operator="notBetween">
      <formula>0</formula>
      <formula>300</formula>
    </cfRule>
  </conditionalFormatting>
  <conditionalFormatting sqref="E7">
    <cfRule type="cellIs" dxfId="292" priority="16" operator="notBetween">
      <formula>0</formula>
      <formula>200</formula>
    </cfRule>
  </conditionalFormatting>
  <conditionalFormatting sqref="E8">
    <cfRule type="cellIs" dxfId="291" priority="15" operator="lessThan">
      <formula>0</formula>
    </cfRule>
  </conditionalFormatting>
  <conditionalFormatting sqref="C8">
    <cfRule type="cellIs" priority="14" operator="notBetween">
      <formula>0</formula>
      <formula>300</formula>
    </cfRule>
  </conditionalFormatting>
  <conditionalFormatting sqref="E8">
    <cfRule type="cellIs" dxfId="290" priority="13" operator="notBetween">
      <formula>0</formula>
      <formula>200</formula>
    </cfRule>
  </conditionalFormatting>
  <conditionalFormatting sqref="E9">
    <cfRule type="cellIs" dxfId="289" priority="12" operator="lessThan">
      <formula>0</formula>
    </cfRule>
  </conditionalFormatting>
  <conditionalFormatting sqref="C9">
    <cfRule type="cellIs" priority="11" operator="notBetween">
      <formula>0</formula>
      <formula>300</formula>
    </cfRule>
  </conditionalFormatting>
  <conditionalFormatting sqref="E9">
    <cfRule type="cellIs" dxfId="288" priority="10" operator="notBetween">
      <formula>0</formula>
      <formula>200</formula>
    </cfRule>
  </conditionalFormatting>
  <conditionalFormatting sqref="M2">
    <cfRule type="cellIs" dxfId="287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286" priority="7" operator="notBetween">
      <formula>0</formula>
      <formula>200</formula>
    </cfRule>
  </conditionalFormatting>
  <conditionalFormatting sqref="E10">
    <cfRule type="cellIs" dxfId="285" priority="6" operator="lessThan">
      <formula>0</formula>
    </cfRule>
  </conditionalFormatting>
  <conditionalFormatting sqref="C10">
    <cfRule type="cellIs" priority="5" operator="notBetween">
      <formula>0</formula>
      <formula>300</formula>
    </cfRule>
  </conditionalFormatting>
  <conditionalFormatting sqref="E10">
    <cfRule type="cellIs" dxfId="284" priority="4" operator="notBetween">
      <formula>0</formula>
      <formula>200</formula>
    </cfRule>
  </conditionalFormatting>
  <conditionalFormatting sqref="E11">
    <cfRule type="cellIs" dxfId="283" priority="3" operator="lessThan">
      <formula>0</formula>
    </cfRule>
  </conditionalFormatting>
  <conditionalFormatting sqref="C11">
    <cfRule type="cellIs" priority="2" operator="notBetween">
      <formula>0</formula>
      <formula>300</formula>
    </cfRule>
  </conditionalFormatting>
  <conditionalFormatting sqref="E11">
    <cfRule type="cellIs" dxfId="282" priority="1" operator="notBetween">
      <formula>0</formula>
      <formula>200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7005-CC56-4243-A30B-26CAAFE1DBC7}">
  <sheetPr codeName="Blad5"/>
  <dimension ref="A1:P6"/>
  <sheetViews>
    <sheetView workbookViewId="0"/>
  </sheetViews>
  <sheetFormatPr defaultRowHeight="14.4" x14ac:dyDescent="0.3"/>
  <sheetData>
    <row r="1" spans="1:16" x14ac:dyDescent="0.3">
      <c r="H1">
        <v>7</v>
      </c>
      <c r="P1">
        <v>2</v>
      </c>
    </row>
    <row r="2" spans="1:16" x14ac:dyDescent="0.3">
      <c r="A2" s="18">
        <v>2</v>
      </c>
      <c r="B2" s="18" t="s">
        <v>1</v>
      </c>
      <c r="C2" s="18">
        <v>93</v>
      </c>
      <c r="D2" s="18">
        <v>0.25</v>
      </c>
      <c r="E2" s="18">
        <v>32.64</v>
      </c>
      <c r="F2" s="18" t="s">
        <v>30</v>
      </c>
      <c r="G2" s="18" t="s">
        <v>18</v>
      </c>
    </row>
    <row r="3" spans="1:16" x14ac:dyDescent="0.3">
      <c r="A3" s="6">
        <v>2</v>
      </c>
      <c r="B3" s="6" t="s">
        <v>1</v>
      </c>
      <c r="C3" s="6">
        <v>99</v>
      </c>
      <c r="D3" s="6">
        <v>0.25</v>
      </c>
      <c r="E3" s="6">
        <v>46.92</v>
      </c>
      <c r="F3" s="6" t="s">
        <v>123</v>
      </c>
      <c r="G3" s="6">
        <v>265536218</v>
      </c>
    </row>
    <row r="4" spans="1:16" x14ac:dyDescent="0.3">
      <c r="A4" s="20">
        <v>2</v>
      </c>
      <c r="B4" s="20" t="s">
        <v>1</v>
      </c>
      <c r="C4" s="20">
        <v>105</v>
      </c>
      <c r="D4" s="20">
        <v>0.25</v>
      </c>
      <c r="E4" s="20">
        <v>68.679990000000004</v>
      </c>
      <c r="F4" s="20" t="s">
        <v>261</v>
      </c>
      <c r="G4" s="20">
        <v>393</v>
      </c>
    </row>
    <row r="5" spans="1:16" x14ac:dyDescent="0.3">
      <c r="A5" s="20">
        <v>2</v>
      </c>
      <c r="B5" s="20" t="s">
        <v>1</v>
      </c>
      <c r="C5" s="20">
        <v>93</v>
      </c>
      <c r="D5" s="20">
        <v>0.25</v>
      </c>
      <c r="E5" s="20">
        <v>65.78</v>
      </c>
      <c r="F5" s="20" t="s">
        <v>30</v>
      </c>
      <c r="G5" s="20">
        <v>345</v>
      </c>
    </row>
    <row r="6" spans="1:16" x14ac:dyDescent="0.3">
      <c r="A6" s="8">
        <v>2</v>
      </c>
      <c r="B6" s="8" t="s">
        <v>1</v>
      </c>
      <c r="C6" s="8">
        <v>101</v>
      </c>
      <c r="D6" s="8">
        <v>0.25</v>
      </c>
      <c r="E6" s="8">
        <v>79.34</v>
      </c>
      <c r="F6" s="8" t="s">
        <v>303</v>
      </c>
      <c r="G6" s="8">
        <v>338534748</v>
      </c>
    </row>
  </sheetData>
  <conditionalFormatting sqref="E2">
    <cfRule type="cellIs" dxfId="281" priority="15" operator="lessThan">
      <formula>0</formula>
    </cfRule>
  </conditionalFormatting>
  <conditionalFormatting sqref="C2">
    <cfRule type="cellIs" priority="14" operator="notBetween">
      <formula>0</formula>
      <formula>300</formula>
    </cfRule>
  </conditionalFormatting>
  <conditionalFormatting sqref="E2">
    <cfRule type="cellIs" dxfId="280" priority="13" operator="notBetween">
      <formula>0</formula>
      <formula>200</formula>
    </cfRule>
  </conditionalFormatting>
  <conditionalFormatting sqref="E3">
    <cfRule type="cellIs" dxfId="279" priority="12" operator="lessThan">
      <formula>0</formula>
    </cfRule>
  </conditionalFormatting>
  <conditionalFormatting sqref="C3">
    <cfRule type="cellIs" priority="11" operator="notBetween">
      <formula>0</formula>
      <formula>300</formula>
    </cfRule>
  </conditionalFormatting>
  <conditionalFormatting sqref="E3">
    <cfRule type="cellIs" dxfId="278" priority="10" operator="notBetween">
      <formula>0</formula>
      <formula>200</formula>
    </cfRule>
  </conditionalFormatting>
  <conditionalFormatting sqref="E4">
    <cfRule type="cellIs" dxfId="277" priority="9" operator="lessThan">
      <formula>0</formula>
    </cfRule>
  </conditionalFormatting>
  <conditionalFormatting sqref="C4">
    <cfRule type="cellIs" priority="8" operator="notBetween">
      <formula>0</formula>
      <formula>300</formula>
    </cfRule>
  </conditionalFormatting>
  <conditionalFormatting sqref="E4">
    <cfRule type="cellIs" dxfId="276" priority="7" operator="notBetween">
      <formula>0</formula>
      <formula>200</formula>
    </cfRule>
  </conditionalFormatting>
  <conditionalFormatting sqref="E5">
    <cfRule type="cellIs" dxfId="275" priority="6" operator="lessThan">
      <formula>0</formula>
    </cfRule>
  </conditionalFormatting>
  <conditionalFormatting sqref="C5">
    <cfRule type="cellIs" priority="5" operator="notBetween">
      <formula>0</formula>
      <formula>300</formula>
    </cfRule>
  </conditionalFormatting>
  <conditionalFormatting sqref="E5">
    <cfRule type="cellIs" dxfId="274" priority="4" operator="notBetween">
      <formula>0</formula>
      <formula>200</formula>
    </cfRule>
  </conditionalFormatting>
  <conditionalFormatting sqref="E6">
    <cfRule type="cellIs" dxfId="273" priority="3" operator="lessThan">
      <formula>0</formula>
    </cfRule>
  </conditionalFormatting>
  <conditionalFormatting sqref="C6">
    <cfRule type="cellIs" priority="2" operator="notBetween">
      <formula>0</formula>
      <formula>300</formula>
    </cfRule>
  </conditionalFormatting>
  <conditionalFormatting sqref="E6">
    <cfRule type="cellIs" dxfId="272" priority="1" operator="notBetween">
      <formula>0</formula>
      <formula>200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AEBA7-D27F-48F7-8436-A336B8BBF646}">
  <sheetPr codeName="Blad6"/>
  <dimension ref="A1:P6"/>
  <sheetViews>
    <sheetView workbookViewId="0"/>
  </sheetViews>
  <sheetFormatPr defaultRowHeight="14.4" x14ac:dyDescent="0.3"/>
  <sheetData>
    <row r="1" spans="1:16" x14ac:dyDescent="0.3">
      <c r="H1">
        <v>7</v>
      </c>
      <c r="P1">
        <v>3</v>
      </c>
    </row>
    <row r="2" spans="1:16" x14ac:dyDescent="0.3">
      <c r="A2" s="18">
        <v>3</v>
      </c>
      <c r="B2" s="18" t="s">
        <v>1</v>
      </c>
      <c r="C2" s="18">
        <v>121</v>
      </c>
      <c r="D2" s="18">
        <v>0.25</v>
      </c>
      <c r="E2" s="18">
        <v>41.44</v>
      </c>
      <c r="F2" s="18" t="s">
        <v>31</v>
      </c>
      <c r="G2" s="18" t="s">
        <v>18</v>
      </c>
      <c r="I2" s="20">
        <v>3</v>
      </c>
      <c r="J2" s="20" t="s">
        <v>40</v>
      </c>
      <c r="K2" s="20">
        <v>5</v>
      </c>
      <c r="L2" s="20">
        <v>0.25</v>
      </c>
      <c r="M2" s="20">
        <v>4.7600100000000003</v>
      </c>
      <c r="N2" s="20" t="s">
        <v>289</v>
      </c>
      <c r="O2" s="20">
        <v>22062669</v>
      </c>
    </row>
    <row r="3" spans="1:16" x14ac:dyDescent="0.3">
      <c r="A3" s="6">
        <v>3</v>
      </c>
      <c r="B3" s="6" t="s">
        <v>1</v>
      </c>
      <c r="C3" s="6">
        <v>130</v>
      </c>
      <c r="D3" s="6">
        <v>0.25</v>
      </c>
      <c r="E3" s="6">
        <v>105.2</v>
      </c>
      <c r="F3" s="6" t="s">
        <v>124</v>
      </c>
      <c r="G3" s="6">
        <v>-389845527</v>
      </c>
    </row>
    <row r="4" spans="1:16" x14ac:dyDescent="0.3">
      <c r="A4" s="5">
        <v>3</v>
      </c>
      <c r="B4" s="5" t="s">
        <v>1</v>
      </c>
      <c r="C4" s="5">
        <v>124</v>
      </c>
      <c r="D4" s="5">
        <v>0.1</v>
      </c>
      <c r="E4" s="5">
        <v>178.91990000000001</v>
      </c>
      <c r="F4" s="5" t="s">
        <v>121</v>
      </c>
      <c r="G4" s="5">
        <v>-1209209755</v>
      </c>
    </row>
    <row r="5" spans="1:16" x14ac:dyDescent="0.3">
      <c r="A5" s="20">
        <v>3</v>
      </c>
      <c r="B5" s="20" t="s">
        <v>1</v>
      </c>
      <c r="C5" s="20">
        <v>132</v>
      </c>
      <c r="D5" s="20">
        <v>0.25</v>
      </c>
      <c r="E5" s="20">
        <v>67.739990000000006</v>
      </c>
      <c r="F5" s="20" t="s">
        <v>290</v>
      </c>
      <c r="G5" s="20">
        <v>411130094</v>
      </c>
    </row>
    <row r="6" spans="1:16" x14ac:dyDescent="0.3">
      <c r="A6" s="8">
        <v>3</v>
      </c>
      <c r="B6" s="8" t="s">
        <v>1</v>
      </c>
      <c r="C6" s="8">
        <v>127</v>
      </c>
      <c r="D6" s="8">
        <v>0.25</v>
      </c>
      <c r="E6" s="8">
        <v>115.62</v>
      </c>
      <c r="F6" s="8" t="s">
        <v>304</v>
      </c>
      <c r="G6" s="8">
        <v>441</v>
      </c>
    </row>
  </sheetData>
  <conditionalFormatting sqref="E2">
    <cfRule type="cellIs" dxfId="271" priority="18" operator="lessThan">
      <formula>0</formula>
    </cfRule>
  </conditionalFormatting>
  <conditionalFormatting sqref="C2">
    <cfRule type="cellIs" priority="17" operator="notBetween">
      <formula>0</formula>
      <formula>300</formula>
    </cfRule>
  </conditionalFormatting>
  <conditionalFormatting sqref="E2">
    <cfRule type="cellIs" dxfId="270" priority="16" operator="notBetween">
      <formula>0</formula>
      <formula>200</formula>
    </cfRule>
  </conditionalFormatting>
  <conditionalFormatting sqref="E3">
    <cfRule type="cellIs" dxfId="269" priority="15" operator="lessThan">
      <formula>0</formula>
    </cfRule>
  </conditionalFormatting>
  <conditionalFormatting sqref="C3">
    <cfRule type="cellIs" priority="14" operator="notBetween">
      <formula>0</formula>
      <formula>300</formula>
    </cfRule>
  </conditionalFormatting>
  <conditionalFormatting sqref="E3">
    <cfRule type="cellIs" dxfId="268" priority="13" operator="notBetween">
      <formula>0</formula>
      <formula>200</formula>
    </cfRule>
  </conditionalFormatting>
  <conditionalFormatting sqref="E4">
    <cfRule type="cellIs" dxfId="267" priority="12" operator="lessThan">
      <formula>0</formula>
    </cfRule>
  </conditionalFormatting>
  <conditionalFormatting sqref="C4">
    <cfRule type="cellIs" priority="11" operator="notBetween">
      <formula>0</formula>
      <formula>300</formula>
    </cfRule>
  </conditionalFormatting>
  <conditionalFormatting sqref="E4">
    <cfRule type="cellIs" dxfId="266" priority="10" operator="notBetween">
      <formula>0</formula>
      <formula>200</formula>
    </cfRule>
  </conditionalFormatting>
  <conditionalFormatting sqref="M2">
    <cfRule type="cellIs" dxfId="265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264" priority="7" operator="notBetween">
      <formula>0</formula>
      <formula>200</formula>
    </cfRule>
  </conditionalFormatting>
  <conditionalFormatting sqref="E5">
    <cfRule type="cellIs" dxfId="263" priority="6" operator="lessThan">
      <formula>0</formula>
    </cfRule>
  </conditionalFormatting>
  <conditionalFormatting sqref="C5">
    <cfRule type="cellIs" priority="5" operator="notBetween">
      <formula>0</formula>
      <formula>300</formula>
    </cfRule>
  </conditionalFormatting>
  <conditionalFormatting sqref="E5">
    <cfRule type="cellIs" dxfId="262" priority="4" operator="notBetween">
      <formula>0</formula>
      <formula>200</formula>
    </cfRule>
  </conditionalFormatting>
  <conditionalFormatting sqref="E6">
    <cfRule type="cellIs" dxfId="261" priority="3" operator="lessThan">
      <formula>0</formula>
    </cfRule>
  </conditionalFormatting>
  <conditionalFormatting sqref="C6">
    <cfRule type="cellIs" priority="2" operator="notBetween">
      <formula>0</formula>
      <formula>300</formula>
    </cfRule>
  </conditionalFormatting>
  <conditionalFormatting sqref="E6">
    <cfRule type="cellIs" dxfId="260" priority="1" operator="notBetween">
      <formula>0</formula>
      <formula>200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74A58-8581-45D2-A853-7992E497D90E}">
  <sheetPr codeName="Blad7"/>
  <dimension ref="A1:P4"/>
  <sheetViews>
    <sheetView workbookViewId="0"/>
  </sheetViews>
  <sheetFormatPr defaultRowHeight="14.4" x14ac:dyDescent="0.3"/>
  <sheetData>
    <row r="1" spans="1:16" x14ac:dyDescent="0.3">
      <c r="H1">
        <v>5</v>
      </c>
      <c r="P1">
        <v>3</v>
      </c>
    </row>
    <row r="2" spans="1:16" x14ac:dyDescent="0.3">
      <c r="A2" s="18">
        <v>4</v>
      </c>
      <c r="B2" s="18" t="s">
        <v>1</v>
      </c>
      <c r="C2" s="18">
        <v>33</v>
      </c>
      <c r="D2" s="18">
        <v>0.25</v>
      </c>
      <c r="E2" s="18">
        <v>12.1</v>
      </c>
      <c r="F2" s="18" t="s">
        <v>32</v>
      </c>
      <c r="G2" s="18" t="s">
        <v>18</v>
      </c>
      <c r="I2" s="20">
        <v>4</v>
      </c>
      <c r="J2" s="20" t="s">
        <v>40</v>
      </c>
      <c r="K2" s="20">
        <v>20</v>
      </c>
      <c r="L2" s="20">
        <v>0.25</v>
      </c>
      <c r="M2" s="20">
        <v>7.1200260000000002</v>
      </c>
      <c r="N2" s="20" t="s">
        <v>291</v>
      </c>
      <c r="O2" s="20">
        <v>81156479</v>
      </c>
    </row>
    <row r="3" spans="1:16" x14ac:dyDescent="0.3">
      <c r="A3" s="20">
        <v>4</v>
      </c>
      <c r="B3" s="20" t="s">
        <v>1</v>
      </c>
      <c r="C3" s="20">
        <v>33</v>
      </c>
      <c r="D3" s="20">
        <v>0.25</v>
      </c>
      <c r="E3" s="20">
        <v>14.180020000000001</v>
      </c>
      <c r="F3" s="20" t="s">
        <v>32</v>
      </c>
      <c r="G3" s="20">
        <v>24800570</v>
      </c>
    </row>
    <row r="4" spans="1:16" x14ac:dyDescent="0.3">
      <c r="A4" s="8">
        <v>4</v>
      </c>
      <c r="B4" s="8" t="s">
        <v>1</v>
      </c>
      <c r="C4" s="8">
        <v>36</v>
      </c>
      <c r="D4" s="8">
        <v>0.25</v>
      </c>
      <c r="E4" s="8">
        <v>25.34</v>
      </c>
      <c r="F4" s="8" t="s">
        <v>305</v>
      </c>
      <c r="G4" s="8">
        <v>116389622</v>
      </c>
    </row>
  </sheetData>
  <conditionalFormatting sqref="E2">
    <cfRule type="cellIs" dxfId="259" priority="12" operator="lessThan">
      <formula>0</formula>
    </cfRule>
  </conditionalFormatting>
  <conditionalFormatting sqref="C2">
    <cfRule type="cellIs" priority="11" operator="notBetween">
      <formula>0</formula>
      <formula>300</formula>
    </cfRule>
  </conditionalFormatting>
  <conditionalFormatting sqref="E2">
    <cfRule type="cellIs" dxfId="258" priority="10" operator="notBetween">
      <formula>0</formula>
      <formula>200</formula>
    </cfRule>
  </conditionalFormatting>
  <conditionalFormatting sqref="M2">
    <cfRule type="cellIs" dxfId="257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256" priority="7" operator="notBetween">
      <formula>0</formula>
      <formula>200</formula>
    </cfRule>
  </conditionalFormatting>
  <conditionalFormatting sqref="E3">
    <cfRule type="cellIs" dxfId="255" priority="6" operator="lessThan">
      <formula>0</formula>
    </cfRule>
  </conditionalFormatting>
  <conditionalFormatting sqref="C3">
    <cfRule type="cellIs" priority="5" operator="notBetween">
      <formula>0</formula>
      <formula>300</formula>
    </cfRule>
  </conditionalFormatting>
  <conditionalFormatting sqref="E3">
    <cfRule type="cellIs" dxfId="254" priority="4" operator="notBetween">
      <formula>0</formula>
      <formula>200</formula>
    </cfRule>
  </conditionalFormatting>
  <conditionalFormatting sqref="E4">
    <cfRule type="cellIs" dxfId="253" priority="3" operator="lessThan">
      <formula>0</formula>
    </cfRule>
  </conditionalFormatting>
  <conditionalFormatting sqref="C4">
    <cfRule type="cellIs" priority="2" operator="notBetween">
      <formula>0</formula>
      <formula>300</formula>
    </cfRule>
  </conditionalFormatting>
  <conditionalFormatting sqref="E4">
    <cfRule type="cellIs" dxfId="252" priority="1" operator="notBetween">
      <formula>0</formula>
      <formula>200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0FD36-CF37-457B-B39B-6682B7ED6528}">
  <sheetPr codeName="Blad8"/>
  <dimension ref="A1:P5"/>
  <sheetViews>
    <sheetView workbookViewId="0"/>
  </sheetViews>
  <sheetFormatPr defaultRowHeight="14.4" x14ac:dyDescent="0.3"/>
  <sheetData>
    <row r="1" spans="1:16" x14ac:dyDescent="0.3">
      <c r="H1">
        <v>6</v>
      </c>
      <c r="P1">
        <v>6</v>
      </c>
    </row>
    <row r="2" spans="1:16" x14ac:dyDescent="0.3">
      <c r="A2" s="18">
        <v>5</v>
      </c>
      <c r="B2" s="18" t="s">
        <v>1</v>
      </c>
      <c r="C2" s="18">
        <v>50</v>
      </c>
      <c r="D2" s="18">
        <v>0.25</v>
      </c>
      <c r="E2" s="18">
        <v>17.579999999999998</v>
      </c>
      <c r="F2" s="18" t="s">
        <v>33</v>
      </c>
      <c r="G2" s="18" t="s">
        <v>18</v>
      </c>
      <c r="I2" s="20">
        <v>5</v>
      </c>
      <c r="J2" s="20" t="s">
        <v>40</v>
      </c>
      <c r="K2" s="20">
        <v>18</v>
      </c>
      <c r="L2" s="20">
        <v>0.25</v>
      </c>
      <c r="M2" s="20">
        <v>12.64001</v>
      </c>
      <c r="N2" s="20" t="s">
        <v>292</v>
      </c>
      <c r="O2" s="20">
        <v>66520125</v>
      </c>
    </row>
    <row r="3" spans="1:16" x14ac:dyDescent="0.3">
      <c r="A3" s="6">
        <v>5</v>
      </c>
      <c r="B3" s="6" t="s">
        <v>1</v>
      </c>
      <c r="C3" s="6">
        <v>56</v>
      </c>
      <c r="D3" s="6">
        <v>0.25</v>
      </c>
      <c r="E3" s="6">
        <v>45.640009999999997</v>
      </c>
      <c r="F3" s="6" t="s">
        <v>126</v>
      </c>
      <c r="G3" s="6">
        <v>1619873585</v>
      </c>
      <c r="I3" s="20">
        <v>5</v>
      </c>
      <c r="J3" s="20" t="s">
        <v>40</v>
      </c>
      <c r="K3" s="20">
        <v>15</v>
      </c>
      <c r="L3" s="20">
        <v>0.25</v>
      </c>
      <c r="M3" s="20">
        <v>9.0799869999999991</v>
      </c>
      <c r="N3" s="20" t="s">
        <v>293</v>
      </c>
      <c r="O3" s="20">
        <v>83397749</v>
      </c>
    </row>
    <row r="4" spans="1:16" x14ac:dyDescent="0.3">
      <c r="A4" s="20">
        <v>5</v>
      </c>
      <c r="B4" s="20" t="s">
        <v>1</v>
      </c>
      <c r="C4" s="20">
        <v>52</v>
      </c>
      <c r="D4" s="20">
        <v>0.25</v>
      </c>
      <c r="E4" s="20">
        <v>23</v>
      </c>
      <c r="F4" s="20" t="s">
        <v>296</v>
      </c>
      <c r="G4" s="20">
        <v>169600220</v>
      </c>
      <c r="I4" s="20">
        <v>5</v>
      </c>
      <c r="J4" s="20" t="s">
        <v>40</v>
      </c>
      <c r="K4" s="20">
        <v>37</v>
      </c>
      <c r="L4" s="20">
        <v>0.25</v>
      </c>
      <c r="M4" s="20">
        <v>19.38</v>
      </c>
      <c r="N4" s="20" t="s">
        <v>294</v>
      </c>
      <c r="O4" s="20">
        <v>182</v>
      </c>
    </row>
    <row r="5" spans="1:16" x14ac:dyDescent="0.3">
      <c r="A5" s="8">
        <v>5</v>
      </c>
      <c r="B5" s="8" t="s">
        <v>1</v>
      </c>
      <c r="C5" s="8">
        <v>52</v>
      </c>
      <c r="D5" s="8">
        <v>0.25</v>
      </c>
      <c r="E5" s="8">
        <v>42.48001</v>
      </c>
      <c r="F5" s="8" t="s">
        <v>190</v>
      </c>
      <c r="G5" s="8">
        <v>126777194</v>
      </c>
      <c r="I5" s="20">
        <v>5</v>
      </c>
      <c r="J5" s="20" t="s">
        <v>40</v>
      </c>
      <c r="K5" s="20">
        <v>5</v>
      </c>
      <c r="L5" s="20">
        <v>0.25</v>
      </c>
      <c r="M5" s="20">
        <v>3.3600159999999999</v>
      </c>
      <c r="N5" s="20" t="s">
        <v>295</v>
      </c>
      <c r="O5" s="20">
        <v>17507273</v>
      </c>
    </row>
  </sheetData>
  <conditionalFormatting sqref="E2">
    <cfRule type="cellIs" dxfId="251" priority="24" operator="lessThan">
      <formula>0</formula>
    </cfRule>
  </conditionalFormatting>
  <conditionalFormatting sqref="C2">
    <cfRule type="cellIs" priority="23" operator="notBetween">
      <formula>0</formula>
      <formula>300</formula>
    </cfRule>
  </conditionalFormatting>
  <conditionalFormatting sqref="E2">
    <cfRule type="cellIs" dxfId="250" priority="22" operator="notBetween">
      <formula>0</formula>
      <formula>200</formula>
    </cfRule>
  </conditionalFormatting>
  <conditionalFormatting sqref="E3">
    <cfRule type="cellIs" dxfId="249" priority="21" operator="lessThan">
      <formula>0</formula>
    </cfRule>
  </conditionalFormatting>
  <conditionalFormatting sqref="C3">
    <cfRule type="cellIs" priority="20" operator="notBetween">
      <formula>0</formula>
      <formula>300</formula>
    </cfRule>
  </conditionalFormatting>
  <conditionalFormatting sqref="E3">
    <cfRule type="cellIs" dxfId="248" priority="19" operator="notBetween">
      <formula>0</formula>
      <formula>200</formula>
    </cfRule>
  </conditionalFormatting>
  <conditionalFormatting sqref="M2">
    <cfRule type="cellIs" dxfId="247" priority="18" operator="lessThan">
      <formula>0</formula>
    </cfRule>
  </conditionalFormatting>
  <conditionalFormatting sqref="K2">
    <cfRule type="cellIs" priority="17" operator="notBetween">
      <formula>0</formula>
      <formula>300</formula>
    </cfRule>
  </conditionalFormatting>
  <conditionalFormatting sqref="M2">
    <cfRule type="cellIs" dxfId="246" priority="16" operator="notBetween">
      <formula>0</formula>
      <formula>200</formula>
    </cfRule>
  </conditionalFormatting>
  <conditionalFormatting sqref="M3">
    <cfRule type="cellIs" dxfId="245" priority="15" operator="lessThan">
      <formula>0</formula>
    </cfRule>
  </conditionalFormatting>
  <conditionalFormatting sqref="K3">
    <cfRule type="cellIs" priority="14" operator="notBetween">
      <formula>0</formula>
      <formula>300</formula>
    </cfRule>
  </conditionalFormatting>
  <conditionalFormatting sqref="M3">
    <cfRule type="cellIs" dxfId="244" priority="13" operator="notBetween">
      <formula>0</formula>
      <formula>200</formula>
    </cfRule>
  </conditionalFormatting>
  <conditionalFormatting sqref="M4">
    <cfRule type="cellIs" dxfId="243" priority="12" operator="lessThan">
      <formula>0</formula>
    </cfRule>
  </conditionalFormatting>
  <conditionalFormatting sqref="K4">
    <cfRule type="cellIs" priority="11" operator="notBetween">
      <formula>0</formula>
      <formula>300</formula>
    </cfRule>
  </conditionalFormatting>
  <conditionalFormatting sqref="M4">
    <cfRule type="cellIs" dxfId="242" priority="10" operator="notBetween">
      <formula>0</formula>
      <formula>200</formula>
    </cfRule>
  </conditionalFormatting>
  <conditionalFormatting sqref="M5">
    <cfRule type="cellIs" dxfId="241" priority="9" operator="lessThan">
      <formula>0</formula>
    </cfRule>
  </conditionalFormatting>
  <conditionalFormatting sqref="K5">
    <cfRule type="cellIs" priority="8" operator="notBetween">
      <formula>0</formula>
      <formula>300</formula>
    </cfRule>
  </conditionalFormatting>
  <conditionalFormatting sqref="M5">
    <cfRule type="cellIs" dxfId="240" priority="7" operator="notBetween">
      <formula>0</formula>
      <formula>200</formula>
    </cfRule>
  </conditionalFormatting>
  <conditionalFormatting sqref="E4">
    <cfRule type="cellIs" dxfId="239" priority="6" operator="lessThan">
      <formula>0</formula>
    </cfRule>
  </conditionalFormatting>
  <conditionalFormatting sqref="C4">
    <cfRule type="cellIs" priority="5" operator="notBetween">
      <formula>0</formula>
      <formula>300</formula>
    </cfRule>
  </conditionalFormatting>
  <conditionalFormatting sqref="E4">
    <cfRule type="cellIs" dxfId="238" priority="4" operator="notBetween">
      <formula>0</formula>
      <formula>200</formula>
    </cfRule>
  </conditionalFormatting>
  <conditionalFormatting sqref="E5">
    <cfRule type="cellIs" dxfId="237" priority="3" operator="lessThan">
      <formula>0</formula>
    </cfRule>
  </conditionalFormatting>
  <conditionalFormatting sqref="C5">
    <cfRule type="cellIs" priority="2" operator="notBetween">
      <formula>0</formula>
      <formula>300</formula>
    </cfRule>
  </conditionalFormatting>
  <conditionalFormatting sqref="E5">
    <cfRule type="cellIs" dxfId="236" priority="1" operator="notBetween">
      <formula>0</formula>
      <formula>200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EF3C-AB7B-4066-9E7E-E050B847E649}">
  <sheetPr codeName="Blad4"/>
  <dimension ref="A1:P4"/>
  <sheetViews>
    <sheetView workbookViewId="0"/>
  </sheetViews>
  <sheetFormatPr defaultRowHeight="14.4" x14ac:dyDescent="0.3"/>
  <sheetData>
    <row r="1" spans="1:16" x14ac:dyDescent="0.3">
      <c r="H1">
        <v>3</v>
      </c>
      <c r="P1">
        <v>5</v>
      </c>
    </row>
    <row r="2" spans="1:16" x14ac:dyDescent="0.3">
      <c r="A2" s="6">
        <v>6</v>
      </c>
      <c r="B2" s="6" t="s">
        <v>1</v>
      </c>
      <c r="C2" s="6">
        <v>173</v>
      </c>
      <c r="D2" s="6">
        <v>0.25</v>
      </c>
      <c r="E2" s="6">
        <v>81.239990000000006</v>
      </c>
      <c r="F2" s="6" t="s">
        <v>128</v>
      </c>
      <c r="G2" s="6">
        <v>1131435479</v>
      </c>
      <c r="I2" s="20">
        <v>6</v>
      </c>
      <c r="J2" s="20" t="s">
        <v>40</v>
      </c>
      <c r="K2" s="20">
        <v>52</v>
      </c>
      <c r="L2" s="20">
        <v>0.25</v>
      </c>
      <c r="M2" s="20">
        <v>49.040039999999998</v>
      </c>
      <c r="N2" s="20" t="s">
        <v>297</v>
      </c>
      <c r="O2" s="20">
        <v>74289812</v>
      </c>
    </row>
    <row r="3" spans="1:16" x14ac:dyDescent="0.3">
      <c r="I3" s="20">
        <v>6</v>
      </c>
      <c r="J3" s="20" t="s">
        <v>40</v>
      </c>
      <c r="K3" s="20">
        <v>122</v>
      </c>
      <c r="L3" s="20">
        <v>0.25</v>
      </c>
      <c r="M3" s="20">
        <v>75.580020000000005</v>
      </c>
      <c r="N3" s="20" t="s">
        <v>298</v>
      </c>
      <c r="O3" s="20">
        <v>399</v>
      </c>
    </row>
    <row r="4" spans="1:16" x14ac:dyDescent="0.3">
      <c r="I4" s="20">
        <v>6</v>
      </c>
      <c r="J4" s="20" t="s">
        <v>40</v>
      </c>
      <c r="K4" s="20">
        <v>12</v>
      </c>
      <c r="L4" s="20">
        <v>0.25</v>
      </c>
      <c r="M4" s="20">
        <v>17.279969999999999</v>
      </c>
      <c r="N4" s="20" t="s">
        <v>299</v>
      </c>
      <c r="O4" s="20">
        <v>121841475</v>
      </c>
    </row>
  </sheetData>
  <conditionalFormatting sqref="E2">
    <cfRule type="cellIs" dxfId="235" priority="12" operator="lessThan">
      <formula>0</formula>
    </cfRule>
  </conditionalFormatting>
  <conditionalFormatting sqref="C2">
    <cfRule type="cellIs" priority="11" operator="notBetween">
      <formula>0</formula>
      <formula>300</formula>
    </cfRule>
  </conditionalFormatting>
  <conditionalFormatting sqref="E2">
    <cfRule type="cellIs" dxfId="234" priority="10" operator="notBetween">
      <formula>0</formula>
      <formula>200</formula>
    </cfRule>
  </conditionalFormatting>
  <conditionalFormatting sqref="M2">
    <cfRule type="cellIs" dxfId="233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232" priority="7" operator="notBetween">
      <formula>0</formula>
      <formula>200</formula>
    </cfRule>
  </conditionalFormatting>
  <conditionalFormatting sqref="M3">
    <cfRule type="cellIs" dxfId="231" priority="6" operator="lessThan">
      <formula>0</formula>
    </cfRule>
  </conditionalFormatting>
  <conditionalFormatting sqref="K3">
    <cfRule type="cellIs" priority="5" operator="notBetween">
      <formula>0</formula>
      <formula>300</formula>
    </cfRule>
  </conditionalFormatting>
  <conditionalFormatting sqref="M3">
    <cfRule type="cellIs" dxfId="230" priority="4" operator="notBetween">
      <formula>0</formula>
      <formula>200</formula>
    </cfRule>
  </conditionalFormatting>
  <conditionalFormatting sqref="M4">
    <cfRule type="cellIs" dxfId="229" priority="3" operator="lessThan">
      <formula>0</formula>
    </cfRule>
  </conditionalFormatting>
  <conditionalFormatting sqref="K4">
    <cfRule type="cellIs" priority="2" operator="notBetween">
      <formula>0</formula>
      <formula>300</formula>
    </cfRule>
  </conditionalFormatting>
  <conditionalFormatting sqref="M4">
    <cfRule type="cellIs" dxfId="228" priority="1" operator="notBetween">
      <formula>0</formula>
      <formula>200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1094-E190-4DA2-8B16-179DFE0AD72B}">
  <sheetPr codeName="Blad9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4</v>
      </c>
    </row>
    <row r="2" spans="1:16" x14ac:dyDescent="0.3">
      <c r="A2" s="18">
        <v>7</v>
      </c>
      <c r="B2" s="18" t="s">
        <v>1</v>
      </c>
      <c r="C2" s="18">
        <v>65</v>
      </c>
      <c r="D2" s="18">
        <v>0.25</v>
      </c>
      <c r="E2" s="18">
        <v>25.16</v>
      </c>
      <c r="F2" s="18" t="s">
        <v>34</v>
      </c>
      <c r="G2" s="18" t="s">
        <v>18</v>
      </c>
      <c r="I2" s="20">
        <v>7</v>
      </c>
      <c r="J2" s="20" t="s">
        <v>40</v>
      </c>
      <c r="K2" s="20">
        <v>13</v>
      </c>
      <c r="L2" s="20">
        <v>0.25</v>
      </c>
      <c r="M2" s="20">
        <v>7</v>
      </c>
      <c r="N2" s="20" t="s">
        <v>300</v>
      </c>
      <c r="O2" s="20">
        <v>30385002</v>
      </c>
    </row>
    <row r="3" spans="1:16" x14ac:dyDescent="0.3">
      <c r="A3" s="6">
        <v>7</v>
      </c>
      <c r="B3" s="6" t="s">
        <v>1</v>
      </c>
      <c r="C3" s="6">
        <v>89</v>
      </c>
      <c r="D3" s="6">
        <v>0.25</v>
      </c>
      <c r="E3" s="6">
        <v>85.57996</v>
      </c>
      <c r="F3" s="6" t="s">
        <v>130</v>
      </c>
      <c r="G3" s="6">
        <v>1746440696</v>
      </c>
      <c r="I3" s="20">
        <v>7</v>
      </c>
      <c r="J3" s="20" t="s">
        <v>40</v>
      </c>
      <c r="K3" s="20">
        <v>20</v>
      </c>
      <c r="L3" s="20">
        <v>0.25</v>
      </c>
      <c r="M3" s="20">
        <v>20.040040000000001</v>
      </c>
      <c r="N3" s="20" t="s">
        <v>301</v>
      </c>
      <c r="O3" s="20">
        <v>29464120</v>
      </c>
    </row>
  </sheetData>
  <conditionalFormatting sqref="E2">
    <cfRule type="cellIs" dxfId="227" priority="12" operator="lessThan">
      <formula>0</formula>
    </cfRule>
  </conditionalFormatting>
  <conditionalFormatting sqref="C2">
    <cfRule type="cellIs" priority="11" operator="notBetween">
      <formula>0</formula>
      <formula>300</formula>
    </cfRule>
  </conditionalFormatting>
  <conditionalFormatting sqref="E2">
    <cfRule type="cellIs" dxfId="226" priority="10" operator="notBetween">
      <formula>0</formula>
      <formula>200</formula>
    </cfRule>
  </conditionalFormatting>
  <conditionalFormatting sqref="E3">
    <cfRule type="cellIs" dxfId="225" priority="9" operator="lessThan">
      <formula>0</formula>
    </cfRule>
  </conditionalFormatting>
  <conditionalFormatting sqref="C3">
    <cfRule type="cellIs" priority="8" operator="notBetween">
      <formula>0</formula>
      <formula>300</formula>
    </cfRule>
  </conditionalFormatting>
  <conditionalFormatting sqref="E3">
    <cfRule type="cellIs" dxfId="224" priority="7" operator="notBetween">
      <formula>0</formula>
      <formula>200</formula>
    </cfRule>
  </conditionalFormatting>
  <conditionalFormatting sqref="M2">
    <cfRule type="cellIs" dxfId="223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222" priority="4" operator="notBetween">
      <formula>0</formula>
      <formula>200</formula>
    </cfRule>
  </conditionalFormatting>
  <conditionalFormatting sqref="M3">
    <cfRule type="cellIs" dxfId="221" priority="3" operator="lessThan">
      <formula>0</formula>
    </cfRule>
  </conditionalFormatting>
  <conditionalFormatting sqref="K3">
    <cfRule type="cellIs" priority="2" operator="notBetween">
      <formula>0</formula>
      <formula>300</formula>
    </cfRule>
  </conditionalFormatting>
  <conditionalFormatting sqref="M3">
    <cfRule type="cellIs" dxfId="220" priority="1" operator="notBetween">
      <formula>0</formula>
      <formula>200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43B9-01E1-442A-90ED-7EDB0CE2A972}">
  <sheetPr codeName="Blad19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2</v>
      </c>
    </row>
    <row r="2" spans="1:16" x14ac:dyDescent="0.3">
      <c r="A2" s="18">
        <v>8</v>
      </c>
      <c r="B2" s="18" t="s">
        <v>1</v>
      </c>
      <c r="C2" s="18">
        <v>72</v>
      </c>
      <c r="D2" s="18">
        <v>0.25</v>
      </c>
      <c r="E2" s="18">
        <v>24.44</v>
      </c>
      <c r="F2" s="18" t="s">
        <v>35</v>
      </c>
      <c r="G2" s="18" t="s">
        <v>18</v>
      </c>
    </row>
    <row r="3" spans="1:16" x14ac:dyDescent="0.3">
      <c r="A3" s="5">
        <v>8</v>
      </c>
      <c r="B3" s="5" t="s">
        <v>1</v>
      </c>
      <c r="C3" s="5">
        <v>66</v>
      </c>
      <c r="D3" s="5">
        <v>0.25</v>
      </c>
      <c r="E3" s="5">
        <v>37.739989999999999</v>
      </c>
      <c r="F3" s="5" t="s">
        <v>65</v>
      </c>
      <c r="G3" s="5">
        <v>1281443430</v>
      </c>
    </row>
  </sheetData>
  <conditionalFormatting sqref="E2">
    <cfRule type="cellIs" dxfId="219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218" priority="4" operator="notBetween">
      <formula>0</formula>
      <formula>200</formula>
    </cfRule>
  </conditionalFormatting>
  <conditionalFormatting sqref="E3">
    <cfRule type="cellIs" dxfId="217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216" priority="1" operator="notBetween">
      <formula>0</formula>
      <formula>200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A11D8-774D-4201-B264-8353BEB25A76}">
  <sheetPr codeName="Blad20"/>
  <dimension ref="A1:P2"/>
  <sheetViews>
    <sheetView workbookViewId="0">
      <selection activeCell="G4" sqref="A4:G4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9</v>
      </c>
      <c r="B2" s="5" t="s">
        <v>1</v>
      </c>
      <c r="C2" s="5">
        <v>56</v>
      </c>
      <c r="D2" s="5">
        <v>0.25</v>
      </c>
      <c r="E2" s="5">
        <v>20.10004</v>
      </c>
      <c r="F2" s="5" t="s">
        <v>68</v>
      </c>
      <c r="G2" s="5">
        <v>844815848</v>
      </c>
    </row>
  </sheetData>
  <conditionalFormatting sqref="E2">
    <cfRule type="cellIs" dxfId="21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14" priority="1" operator="notBetween">
      <formula>0</formula>
      <formula>200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95A85-104E-4F98-B3E5-AD9747A93EFB}">
  <sheetPr codeName="Blad21"/>
  <dimension ref="A1:P2"/>
  <sheetViews>
    <sheetView workbookViewId="0">
      <selection activeCell="G6" sqref="A6:G6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10</v>
      </c>
      <c r="B2" s="5" t="s">
        <v>1</v>
      </c>
      <c r="C2" s="5">
        <v>42</v>
      </c>
      <c r="D2" s="5">
        <v>0.25</v>
      </c>
      <c r="E2" s="5">
        <v>17.959959999999999</v>
      </c>
      <c r="F2" s="5" t="s">
        <v>76</v>
      </c>
      <c r="G2" s="5">
        <v>-204971713</v>
      </c>
    </row>
  </sheetData>
  <conditionalFormatting sqref="E2">
    <cfRule type="cellIs" dxfId="21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12" priority="1" operator="notBetween">
      <formula>0</formula>
      <formula>200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891B3-0267-4C0E-9112-38D3E38A1AE8}">
  <sheetPr codeName="Blad22"/>
  <dimension ref="A1:P2"/>
  <sheetViews>
    <sheetView workbookViewId="0">
      <selection activeCell="C4" sqref="C4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11</v>
      </c>
      <c r="B2" s="5" t="s">
        <v>1</v>
      </c>
      <c r="C2" s="5">
        <v>49</v>
      </c>
      <c r="D2" s="5">
        <v>0.25</v>
      </c>
      <c r="E2" s="5">
        <v>24.92004</v>
      </c>
      <c r="F2" s="5" t="s">
        <v>80</v>
      </c>
      <c r="G2" s="5">
        <v>-1314316082</v>
      </c>
    </row>
  </sheetData>
  <conditionalFormatting sqref="E2">
    <cfRule type="cellIs" dxfId="21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10" priority="1" operator="notBetween">
      <formula>0</formula>
      <formula>200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C0DE-BDF2-498E-907A-185E5A8C11D1}">
  <sheetPr codeName="Blad23"/>
  <dimension ref="A1:P2"/>
  <sheetViews>
    <sheetView workbookViewId="0">
      <selection activeCell="G3" sqref="A3:G3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12</v>
      </c>
      <c r="B2" s="5" t="s">
        <v>1</v>
      </c>
      <c r="C2" s="5">
        <v>61</v>
      </c>
      <c r="D2" s="5">
        <v>0.25</v>
      </c>
      <c r="E2" s="5">
        <v>28.900020000000001</v>
      </c>
      <c r="F2" s="5" t="s">
        <v>81</v>
      </c>
      <c r="G2" s="5">
        <v>-1307237748</v>
      </c>
    </row>
  </sheetData>
  <conditionalFormatting sqref="E2">
    <cfRule type="cellIs" dxfId="20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8" priority="1" operator="notBetween">
      <formula>0</formula>
      <formula>200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EE41-6416-4D12-83F8-0D7B07E0009C}">
  <sheetPr codeName="Blad24"/>
  <dimension ref="A1:P2"/>
  <sheetViews>
    <sheetView workbookViewId="0">
      <selection activeCell="G3" sqref="A3:G3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13</v>
      </c>
      <c r="B2" s="5" t="s">
        <v>1</v>
      </c>
      <c r="C2" s="5">
        <v>80</v>
      </c>
      <c r="D2" s="5">
        <v>0.25</v>
      </c>
      <c r="E2" s="5">
        <v>40.059939999999997</v>
      </c>
      <c r="F2" s="5" t="s">
        <v>82</v>
      </c>
      <c r="G2" s="5">
        <v>-2067969056</v>
      </c>
    </row>
  </sheetData>
  <conditionalFormatting sqref="E2">
    <cfRule type="cellIs" dxfId="20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6" priority="1" operator="notBetween">
      <formula>0</formula>
      <formula>200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E10C-C15A-4449-8B69-6E99DBC11F2A}">
  <sheetPr codeName="Blad25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14</v>
      </c>
      <c r="B2" s="5" t="s">
        <v>1</v>
      </c>
      <c r="C2" s="5">
        <v>105</v>
      </c>
      <c r="D2" s="5">
        <v>0.25</v>
      </c>
      <c r="E2" s="5">
        <v>90.660030000000006</v>
      </c>
      <c r="F2" s="5" t="s">
        <v>85</v>
      </c>
      <c r="G2" s="5">
        <v>-469581375</v>
      </c>
    </row>
  </sheetData>
  <conditionalFormatting sqref="E2">
    <cfRule type="cellIs" dxfId="20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4" priority="1" operator="notBetween">
      <formula>0</formula>
      <formula>200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892FC-CB1B-4C31-B7DE-3644082C6B05}">
  <sheetPr codeName="Blad26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15</v>
      </c>
      <c r="B2" s="5" t="s">
        <v>1</v>
      </c>
      <c r="C2" s="5">
        <v>63</v>
      </c>
      <c r="D2" s="5">
        <v>0.25</v>
      </c>
      <c r="E2" s="5">
        <v>39.199950000000001</v>
      </c>
      <c r="F2" s="5" t="s">
        <v>92</v>
      </c>
      <c r="G2" s="5">
        <v>879201781</v>
      </c>
    </row>
  </sheetData>
  <conditionalFormatting sqref="E2">
    <cfRule type="cellIs" dxfId="20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2" priority="1" operator="notBetween">
      <formula>0</formula>
      <formula>200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94C2-E8EA-44A5-A057-625FC55D6DDA}">
  <sheetPr codeName="Blad27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16</v>
      </c>
      <c r="B2" s="5" t="s">
        <v>1</v>
      </c>
      <c r="C2" s="5">
        <v>55</v>
      </c>
      <c r="D2" s="5">
        <v>0.25</v>
      </c>
      <c r="E2" s="5">
        <v>27.599979999999999</v>
      </c>
      <c r="F2" s="5" t="s">
        <v>93</v>
      </c>
      <c r="G2" s="5">
        <v>1174271504</v>
      </c>
    </row>
  </sheetData>
  <conditionalFormatting sqref="E2">
    <cfRule type="cellIs" dxfId="20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0" priority="1" operator="notBetween">
      <formula>0</formula>
      <formula>200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3947-76A9-4B11-9A4E-32F2EB267DC7}">
  <sheetPr codeName="Blad28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17</v>
      </c>
      <c r="B2" s="5" t="s">
        <v>1</v>
      </c>
      <c r="C2" s="5">
        <v>57</v>
      </c>
      <c r="D2" s="5">
        <v>0.25</v>
      </c>
      <c r="E2" s="5">
        <v>32.440060000000003</v>
      </c>
      <c r="F2" s="5" t="s">
        <v>95</v>
      </c>
      <c r="G2" s="5">
        <v>996667286</v>
      </c>
    </row>
  </sheetData>
  <conditionalFormatting sqref="E2">
    <cfRule type="cellIs" dxfId="19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98" priority="1" operator="notBetween">
      <formula>0</formula>
      <formula>200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398B-B8F9-4932-9481-170B7610DBBF}">
  <sheetPr codeName="Blad29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18</v>
      </c>
      <c r="B2" s="5" t="s">
        <v>1</v>
      </c>
      <c r="C2" s="5">
        <v>40</v>
      </c>
      <c r="D2" s="5">
        <v>0.25</v>
      </c>
      <c r="E2" s="5">
        <v>39.820070000000001</v>
      </c>
      <c r="F2" s="5" t="s">
        <v>100</v>
      </c>
      <c r="G2" s="5">
        <v>1132470763</v>
      </c>
    </row>
  </sheetData>
  <conditionalFormatting sqref="E2">
    <cfRule type="cellIs" dxfId="19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96" priority="1" operator="notBetween">
      <formula>0</formula>
      <formula>200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E6506-1C4C-4650-9D4A-E92834557EC2}">
  <sheetPr codeName="Blad30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19</v>
      </c>
      <c r="B2" s="5" t="s">
        <v>1</v>
      </c>
      <c r="C2" s="5">
        <v>54</v>
      </c>
      <c r="D2" s="5">
        <v>0.25</v>
      </c>
      <c r="E2" s="5">
        <v>33.06006</v>
      </c>
      <c r="F2" s="5" t="s">
        <v>104</v>
      </c>
      <c r="G2" s="5">
        <v>609267190</v>
      </c>
    </row>
  </sheetData>
  <conditionalFormatting sqref="E2">
    <cfRule type="cellIs" dxfId="19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94" priority="1" operator="notBetween">
      <formula>0</formula>
      <formula>200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EBEA-E9B1-4D95-B003-3128D13CCFC4}">
  <sheetPr codeName="Blad31"/>
  <dimension ref="A1:P19"/>
  <sheetViews>
    <sheetView workbookViewId="0">
      <selection activeCell="G3" sqref="A3:G3"/>
    </sheetView>
  </sheetViews>
  <sheetFormatPr defaultRowHeight="14.4" x14ac:dyDescent="0.3"/>
  <sheetData>
    <row r="1" spans="1:16" x14ac:dyDescent="0.3">
      <c r="H1">
        <v>3</v>
      </c>
      <c r="P1">
        <v>20</v>
      </c>
    </row>
    <row r="2" spans="1:16" x14ac:dyDescent="0.3">
      <c r="A2" s="5">
        <v>20</v>
      </c>
      <c r="B2" s="5" t="s">
        <v>1</v>
      </c>
      <c r="C2" s="5">
        <v>70</v>
      </c>
      <c r="D2" s="5">
        <v>0.25</v>
      </c>
      <c r="E2" s="5">
        <v>35.139890000000001</v>
      </c>
      <c r="F2" s="5" t="s">
        <v>105</v>
      </c>
      <c r="G2" s="5">
        <v>-477393018</v>
      </c>
      <c r="I2" s="20">
        <v>20</v>
      </c>
      <c r="J2" s="20" t="s">
        <v>40</v>
      </c>
      <c r="K2" s="20">
        <v>21</v>
      </c>
      <c r="L2" s="20">
        <v>0.25</v>
      </c>
      <c r="M2" s="20">
        <v>19.579989999999999</v>
      </c>
      <c r="N2" s="20">
        <v>14.3</v>
      </c>
      <c r="O2" s="20">
        <v>12426112</v>
      </c>
    </row>
    <row r="3" spans="1:16" x14ac:dyDescent="0.3">
      <c r="I3" s="20">
        <v>20</v>
      </c>
      <c r="J3" s="20" t="s">
        <v>40</v>
      </c>
      <c r="K3" s="20">
        <v>43</v>
      </c>
      <c r="L3" s="20">
        <v>0.25</v>
      </c>
      <c r="M3" s="20">
        <v>25.579989999999999</v>
      </c>
      <c r="N3" s="20" t="s">
        <v>262</v>
      </c>
      <c r="O3" s="20">
        <v>67520214</v>
      </c>
    </row>
    <row r="4" spans="1:16" x14ac:dyDescent="0.3">
      <c r="I4" s="20">
        <v>20</v>
      </c>
      <c r="J4" s="20" t="s">
        <v>40</v>
      </c>
      <c r="K4" s="20">
        <v>10</v>
      </c>
      <c r="L4" s="20">
        <v>0.25</v>
      </c>
      <c r="M4" s="20">
        <v>7</v>
      </c>
      <c r="N4" s="20" t="s">
        <v>263</v>
      </c>
      <c r="O4" s="20">
        <v>5990482</v>
      </c>
    </row>
    <row r="5" spans="1:16" x14ac:dyDescent="0.3">
      <c r="I5" s="20">
        <v>20</v>
      </c>
      <c r="J5" s="20" t="s">
        <v>40</v>
      </c>
      <c r="K5" s="20">
        <v>13</v>
      </c>
      <c r="L5" s="20">
        <v>0.25</v>
      </c>
      <c r="M5" s="20">
        <v>7.6199950000000003</v>
      </c>
      <c r="N5" s="20" t="s">
        <v>264</v>
      </c>
      <c r="O5" s="20">
        <v>125452936</v>
      </c>
    </row>
    <row r="6" spans="1:16" x14ac:dyDescent="0.3">
      <c r="I6" s="20">
        <v>20</v>
      </c>
      <c r="J6" s="20" t="s">
        <v>40</v>
      </c>
      <c r="K6" s="20">
        <v>38</v>
      </c>
      <c r="L6" s="20">
        <v>0.25</v>
      </c>
      <c r="M6" s="20">
        <v>30.42</v>
      </c>
      <c r="N6" s="20" t="s">
        <v>265</v>
      </c>
      <c r="O6" s="20">
        <v>57600169</v>
      </c>
    </row>
    <row r="7" spans="1:16" x14ac:dyDescent="0.3">
      <c r="I7" s="20">
        <v>20</v>
      </c>
      <c r="J7" s="20" t="s">
        <v>40</v>
      </c>
      <c r="K7" s="20">
        <v>10</v>
      </c>
      <c r="L7" s="20">
        <v>0.25</v>
      </c>
      <c r="M7" s="20">
        <v>8.0200040000000001</v>
      </c>
      <c r="N7" s="20" t="s">
        <v>266</v>
      </c>
      <c r="O7" s="20">
        <v>64204254</v>
      </c>
    </row>
    <row r="8" spans="1:16" x14ac:dyDescent="0.3">
      <c r="I8" s="20">
        <v>20</v>
      </c>
      <c r="J8" s="20" t="s">
        <v>40</v>
      </c>
      <c r="K8" s="20">
        <v>15</v>
      </c>
      <c r="L8" s="20">
        <v>0.25</v>
      </c>
      <c r="M8" s="20">
        <v>12.379989999999999</v>
      </c>
      <c r="N8" s="20" t="s">
        <v>267</v>
      </c>
      <c r="O8" s="20">
        <v>67513574</v>
      </c>
    </row>
    <row r="9" spans="1:16" x14ac:dyDescent="0.3">
      <c r="I9" s="20">
        <v>20</v>
      </c>
      <c r="J9" s="20" t="s">
        <v>40</v>
      </c>
      <c r="K9" s="20">
        <v>19</v>
      </c>
      <c r="L9" s="20">
        <v>0.25</v>
      </c>
      <c r="M9" s="20">
        <v>15.479979999999999</v>
      </c>
      <c r="N9" s="20" t="s">
        <v>268</v>
      </c>
      <c r="O9" s="20">
        <v>92198551</v>
      </c>
    </row>
    <row r="10" spans="1:16" x14ac:dyDescent="0.3">
      <c r="I10" s="20">
        <v>20</v>
      </c>
      <c r="J10" s="20" t="s">
        <v>40</v>
      </c>
      <c r="K10" s="20">
        <v>36</v>
      </c>
      <c r="L10" s="20">
        <v>0.25</v>
      </c>
      <c r="M10" s="20">
        <v>30.62003</v>
      </c>
      <c r="N10" s="20" t="s">
        <v>269</v>
      </c>
      <c r="O10" s="20">
        <v>152521762</v>
      </c>
    </row>
    <row r="11" spans="1:16" x14ac:dyDescent="0.3">
      <c r="I11" s="20">
        <v>20</v>
      </c>
      <c r="J11" s="20" t="s">
        <v>40</v>
      </c>
      <c r="K11" s="20">
        <v>5</v>
      </c>
      <c r="L11" s="20">
        <v>0.25</v>
      </c>
      <c r="M11" s="20">
        <v>2.5199889999999998</v>
      </c>
      <c r="N11" s="20" t="s">
        <v>270</v>
      </c>
      <c r="O11" s="20">
        <v>63718312</v>
      </c>
    </row>
    <row r="12" spans="1:16" x14ac:dyDescent="0.3">
      <c r="I12" s="20">
        <v>20</v>
      </c>
      <c r="J12" s="20" t="s">
        <v>40</v>
      </c>
      <c r="K12" s="20">
        <v>29</v>
      </c>
      <c r="L12" s="20">
        <v>0.25</v>
      </c>
      <c r="M12" s="20">
        <v>20.260010000000001</v>
      </c>
      <c r="N12" s="20" t="s">
        <v>271</v>
      </c>
      <c r="O12" s="20">
        <v>116032146</v>
      </c>
    </row>
    <row r="13" spans="1:16" x14ac:dyDescent="0.3">
      <c r="I13" s="20">
        <v>20</v>
      </c>
      <c r="J13" s="20" t="s">
        <v>40</v>
      </c>
      <c r="K13" s="20">
        <v>11</v>
      </c>
      <c r="L13" s="20">
        <v>0.25</v>
      </c>
      <c r="M13" s="20">
        <v>12.520020000000001</v>
      </c>
      <c r="N13" s="20" t="s">
        <v>272</v>
      </c>
      <c r="O13" s="20">
        <v>34326497</v>
      </c>
    </row>
    <row r="14" spans="1:16" x14ac:dyDescent="0.3">
      <c r="I14" s="20">
        <v>20</v>
      </c>
      <c r="J14" s="20" t="s">
        <v>40</v>
      </c>
      <c r="K14" s="20">
        <v>41</v>
      </c>
      <c r="L14" s="20">
        <v>0.25</v>
      </c>
      <c r="M14" s="20">
        <v>28.600010000000001</v>
      </c>
      <c r="N14" s="20" t="s">
        <v>273</v>
      </c>
      <c r="O14" s="20">
        <v>174</v>
      </c>
    </row>
    <row r="15" spans="1:16" x14ac:dyDescent="0.3">
      <c r="I15" s="20">
        <v>20</v>
      </c>
      <c r="J15" s="20" t="s">
        <v>40</v>
      </c>
      <c r="K15" s="20">
        <v>38</v>
      </c>
      <c r="L15" s="20">
        <v>0.25</v>
      </c>
      <c r="M15" s="20">
        <v>29.82001</v>
      </c>
      <c r="N15" s="20" t="s">
        <v>274</v>
      </c>
      <c r="O15" s="20">
        <v>100812978</v>
      </c>
    </row>
    <row r="16" spans="1:16" x14ac:dyDescent="0.3">
      <c r="I16" s="20">
        <v>20</v>
      </c>
      <c r="J16" s="20" t="s">
        <v>40</v>
      </c>
      <c r="K16" s="20">
        <v>52</v>
      </c>
      <c r="L16" s="20">
        <v>0.25</v>
      </c>
      <c r="M16" s="20">
        <v>33.399990000000003</v>
      </c>
      <c r="N16" s="20" t="s">
        <v>275</v>
      </c>
      <c r="O16" s="20">
        <v>204240230</v>
      </c>
    </row>
    <row r="17" spans="9:15" x14ac:dyDescent="0.3">
      <c r="I17" s="20">
        <v>20</v>
      </c>
      <c r="J17" s="20" t="s">
        <v>40</v>
      </c>
      <c r="K17" s="20">
        <v>17</v>
      </c>
      <c r="L17" s="20">
        <v>0.25</v>
      </c>
      <c r="M17" s="20">
        <v>12.34</v>
      </c>
      <c r="N17" s="20" t="s">
        <v>276</v>
      </c>
      <c r="O17" s="20">
        <v>51088109</v>
      </c>
    </row>
    <row r="18" spans="9:15" x14ac:dyDescent="0.3">
      <c r="I18" s="20">
        <v>20</v>
      </c>
      <c r="J18" s="20" t="s">
        <v>40</v>
      </c>
      <c r="K18" s="20">
        <v>35</v>
      </c>
      <c r="L18" s="20">
        <v>0.25</v>
      </c>
      <c r="M18" s="20">
        <v>28.419979999999999</v>
      </c>
      <c r="N18" s="20" t="s">
        <v>277</v>
      </c>
      <c r="O18" s="20">
        <v>36200186</v>
      </c>
    </row>
    <row r="19" spans="9:15" x14ac:dyDescent="0.3">
      <c r="I19" s="20">
        <v>20</v>
      </c>
      <c r="J19" s="20" t="s">
        <v>40</v>
      </c>
      <c r="K19" s="20">
        <v>22</v>
      </c>
      <c r="L19" s="20">
        <v>0.25</v>
      </c>
      <c r="M19" s="20">
        <v>17.12</v>
      </c>
      <c r="N19" s="20">
        <v>14.34</v>
      </c>
      <c r="O19" s="20">
        <v>32939959</v>
      </c>
    </row>
  </sheetData>
  <conditionalFormatting sqref="E2">
    <cfRule type="cellIs" dxfId="193" priority="57" operator="lessThan">
      <formula>0</formula>
    </cfRule>
  </conditionalFormatting>
  <conditionalFormatting sqref="C2">
    <cfRule type="cellIs" priority="56" operator="notBetween">
      <formula>0</formula>
      <formula>300</formula>
    </cfRule>
  </conditionalFormatting>
  <conditionalFormatting sqref="E2">
    <cfRule type="cellIs" dxfId="192" priority="55" operator="notBetween">
      <formula>0</formula>
      <formula>200</formula>
    </cfRule>
  </conditionalFormatting>
  <conditionalFormatting sqref="M2">
    <cfRule type="cellIs" dxfId="191" priority="54" operator="lessThan">
      <formula>0</formula>
    </cfRule>
  </conditionalFormatting>
  <conditionalFormatting sqref="K2">
    <cfRule type="cellIs" priority="53" operator="notBetween">
      <formula>0</formula>
      <formula>300</formula>
    </cfRule>
  </conditionalFormatting>
  <conditionalFormatting sqref="M2">
    <cfRule type="cellIs" dxfId="190" priority="52" operator="notBetween">
      <formula>0</formula>
      <formula>200</formula>
    </cfRule>
  </conditionalFormatting>
  <conditionalFormatting sqref="M3">
    <cfRule type="cellIs" dxfId="189" priority="51" operator="lessThan">
      <formula>0</formula>
    </cfRule>
  </conditionalFormatting>
  <conditionalFormatting sqref="K3">
    <cfRule type="cellIs" priority="50" operator="notBetween">
      <formula>0</formula>
      <formula>300</formula>
    </cfRule>
  </conditionalFormatting>
  <conditionalFormatting sqref="M3">
    <cfRule type="cellIs" dxfId="188" priority="49" operator="notBetween">
      <formula>0</formula>
      <formula>200</formula>
    </cfRule>
  </conditionalFormatting>
  <conditionalFormatting sqref="M4">
    <cfRule type="cellIs" dxfId="187" priority="48" operator="lessThan">
      <formula>0</formula>
    </cfRule>
  </conditionalFormatting>
  <conditionalFormatting sqref="K4">
    <cfRule type="cellIs" priority="47" operator="notBetween">
      <formula>0</formula>
      <formula>300</formula>
    </cfRule>
  </conditionalFormatting>
  <conditionalFormatting sqref="M4">
    <cfRule type="cellIs" dxfId="186" priority="46" operator="notBetween">
      <formula>0</formula>
      <formula>200</formula>
    </cfRule>
  </conditionalFormatting>
  <conditionalFormatting sqref="M5">
    <cfRule type="cellIs" dxfId="185" priority="45" operator="lessThan">
      <formula>0</formula>
    </cfRule>
  </conditionalFormatting>
  <conditionalFormatting sqref="K5">
    <cfRule type="cellIs" priority="44" operator="notBetween">
      <formula>0</formula>
      <formula>300</formula>
    </cfRule>
  </conditionalFormatting>
  <conditionalFormatting sqref="M5">
    <cfRule type="cellIs" dxfId="184" priority="43" operator="notBetween">
      <formula>0</formula>
      <formula>200</formula>
    </cfRule>
  </conditionalFormatting>
  <conditionalFormatting sqref="M6">
    <cfRule type="cellIs" dxfId="183" priority="42" operator="lessThan">
      <formula>0</formula>
    </cfRule>
  </conditionalFormatting>
  <conditionalFormatting sqref="K6">
    <cfRule type="cellIs" priority="41" operator="notBetween">
      <formula>0</formula>
      <formula>300</formula>
    </cfRule>
  </conditionalFormatting>
  <conditionalFormatting sqref="M6">
    <cfRule type="cellIs" dxfId="182" priority="40" operator="notBetween">
      <formula>0</formula>
      <formula>200</formula>
    </cfRule>
  </conditionalFormatting>
  <conditionalFormatting sqref="M7">
    <cfRule type="cellIs" dxfId="181" priority="39" operator="lessThan">
      <formula>0</formula>
    </cfRule>
  </conditionalFormatting>
  <conditionalFormatting sqref="K7">
    <cfRule type="cellIs" priority="38" operator="notBetween">
      <formula>0</formula>
      <formula>300</formula>
    </cfRule>
  </conditionalFormatting>
  <conditionalFormatting sqref="M7">
    <cfRule type="cellIs" dxfId="180" priority="37" operator="notBetween">
      <formula>0</formula>
      <formula>200</formula>
    </cfRule>
  </conditionalFormatting>
  <conditionalFormatting sqref="M8">
    <cfRule type="cellIs" dxfId="179" priority="36" operator="lessThan">
      <formula>0</formula>
    </cfRule>
  </conditionalFormatting>
  <conditionalFormatting sqref="K8">
    <cfRule type="cellIs" priority="35" operator="notBetween">
      <formula>0</formula>
      <formula>300</formula>
    </cfRule>
  </conditionalFormatting>
  <conditionalFormatting sqref="M8">
    <cfRule type="cellIs" dxfId="178" priority="34" operator="notBetween">
      <formula>0</formula>
      <formula>200</formula>
    </cfRule>
  </conditionalFormatting>
  <conditionalFormatting sqref="M9">
    <cfRule type="cellIs" dxfId="177" priority="33" operator="lessThan">
      <formula>0</formula>
    </cfRule>
  </conditionalFormatting>
  <conditionalFormatting sqref="K9">
    <cfRule type="cellIs" priority="32" operator="notBetween">
      <formula>0</formula>
      <formula>300</formula>
    </cfRule>
  </conditionalFormatting>
  <conditionalFormatting sqref="M9">
    <cfRule type="cellIs" dxfId="176" priority="31" operator="notBetween">
      <formula>0</formula>
      <formula>200</formula>
    </cfRule>
  </conditionalFormatting>
  <conditionalFormatting sqref="M10">
    <cfRule type="cellIs" dxfId="175" priority="30" operator="lessThan">
      <formula>0</formula>
    </cfRule>
  </conditionalFormatting>
  <conditionalFormatting sqref="K10">
    <cfRule type="cellIs" priority="29" operator="notBetween">
      <formula>0</formula>
      <formula>300</formula>
    </cfRule>
  </conditionalFormatting>
  <conditionalFormatting sqref="M10">
    <cfRule type="cellIs" dxfId="174" priority="28" operator="notBetween">
      <formula>0</formula>
      <formula>200</formula>
    </cfRule>
  </conditionalFormatting>
  <conditionalFormatting sqref="M11">
    <cfRule type="cellIs" dxfId="173" priority="27" operator="lessThan">
      <formula>0</formula>
    </cfRule>
  </conditionalFormatting>
  <conditionalFormatting sqref="K11">
    <cfRule type="cellIs" priority="26" operator="notBetween">
      <formula>0</formula>
      <formula>300</formula>
    </cfRule>
  </conditionalFormatting>
  <conditionalFormatting sqref="M11">
    <cfRule type="cellIs" dxfId="172" priority="25" operator="notBetween">
      <formula>0</formula>
      <formula>200</formula>
    </cfRule>
  </conditionalFormatting>
  <conditionalFormatting sqref="M12">
    <cfRule type="cellIs" dxfId="171" priority="24" operator="lessThan">
      <formula>0</formula>
    </cfRule>
  </conditionalFormatting>
  <conditionalFormatting sqref="K12">
    <cfRule type="cellIs" priority="23" operator="notBetween">
      <formula>0</formula>
      <formula>300</formula>
    </cfRule>
  </conditionalFormatting>
  <conditionalFormatting sqref="M12">
    <cfRule type="cellIs" dxfId="170" priority="22" operator="notBetween">
      <formula>0</formula>
      <formula>200</formula>
    </cfRule>
  </conditionalFormatting>
  <conditionalFormatting sqref="M13">
    <cfRule type="cellIs" dxfId="169" priority="21" operator="lessThan">
      <formula>0</formula>
    </cfRule>
  </conditionalFormatting>
  <conditionalFormatting sqref="K13">
    <cfRule type="cellIs" priority="20" operator="notBetween">
      <formula>0</formula>
      <formula>300</formula>
    </cfRule>
  </conditionalFormatting>
  <conditionalFormatting sqref="M13">
    <cfRule type="cellIs" dxfId="168" priority="19" operator="notBetween">
      <formula>0</formula>
      <formula>200</formula>
    </cfRule>
  </conditionalFormatting>
  <conditionalFormatting sqref="M14">
    <cfRule type="cellIs" dxfId="167" priority="18" operator="lessThan">
      <formula>0</formula>
    </cfRule>
  </conditionalFormatting>
  <conditionalFormatting sqref="K14">
    <cfRule type="cellIs" priority="17" operator="notBetween">
      <formula>0</formula>
      <formula>300</formula>
    </cfRule>
  </conditionalFormatting>
  <conditionalFormatting sqref="M14">
    <cfRule type="cellIs" dxfId="166" priority="16" operator="notBetween">
      <formula>0</formula>
      <formula>200</formula>
    </cfRule>
  </conditionalFormatting>
  <conditionalFormatting sqref="M15">
    <cfRule type="cellIs" dxfId="165" priority="15" operator="lessThan">
      <formula>0</formula>
    </cfRule>
  </conditionalFormatting>
  <conditionalFormatting sqref="K15">
    <cfRule type="cellIs" priority="14" operator="notBetween">
      <formula>0</formula>
      <formula>300</formula>
    </cfRule>
  </conditionalFormatting>
  <conditionalFormatting sqref="M15">
    <cfRule type="cellIs" dxfId="164" priority="13" operator="notBetween">
      <formula>0</formula>
      <formula>200</formula>
    </cfRule>
  </conditionalFormatting>
  <conditionalFormatting sqref="M16">
    <cfRule type="cellIs" dxfId="163" priority="12" operator="lessThan">
      <formula>0</formula>
    </cfRule>
  </conditionalFormatting>
  <conditionalFormatting sqref="K16">
    <cfRule type="cellIs" priority="11" operator="notBetween">
      <formula>0</formula>
      <formula>300</formula>
    </cfRule>
  </conditionalFormatting>
  <conditionalFormatting sqref="M16">
    <cfRule type="cellIs" dxfId="162" priority="10" operator="notBetween">
      <formula>0</formula>
      <formula>200</formula>
    </cfRule>
  </conditionalFormatting>
  <conditionalFormatting sqref="M17">
    <cfRule type="cellIs" dxfId="161" priority="9" operator="lessThan">
      <formula>0</formula>
    </cfRule>
  </conditionalFormatting>
  <conditionalFormatting sqref="K17">
    <cfRule type="cellIs" priority="8" operator="notBetween">
      <formula>0</formula>
      <formula>300</formula>
    </cfRule>
  </conditionalFormatting>
  <conditionalFormatting sqref="M17">
    <cfRule type="cellIs" dxfId="160" priority="7" operator="notBetween">
      <formula>0</formula>
      <formula>200</formula>
    </cfRule>
  </conditionalFormatting>
  <conditionalFormatting sqref="M18">
    <cfRule type="cellIs" dxfId="159" priority="6" operator="lessThan">
      <formula>0</formula>
    </cfRule>
  </conditionalFormatting>
  <conditionalFormatting sqref="K18">
    <cfRule type="cellIs" priority="5" operator="notBetween">
      <formula>0</formula>
      <formula>300</formula>
    </cfRule>
  </conditionalFormatting>
  <conditionalFormatting sqref="M18">
    <cfRule type="cellIs" dxfId="158" priority="4" operator="notBetween">
      <formula>0</formula>
      <formula>200</formula>
    </cfRule>
  </conditionalFormatting>
  <conditionalFormatting sqref="M19">
    <cfRule type="cellIs" dxfId="157" priority="3" operator="lessThan">
      <formula>0</formula>
    </cfRule>
  </conditionalFormatting>
  <conditionalFormatting sqref="K19">
    <cfRule type="cellIs" priority="2" operator="notBetween">
      <formula>0</formula>
      <formula>300</formula>
    </cfRule>
  </conditionalFormatting>
  <conditionalFormatting sqref="M19">
    <cfRule type="cellIs" dxfId="156" priority="1" operator="notBetween">
      <formula>0</formula>
      <formula>200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FB9A-C8FB-4B36-BA97-926C7C8C0741}">
  <sheetPr codeName="Blad32"/>
  <dimension ref="A1:P10"/>
  <sheetViews>
    <sheetView workbookViewId="0">
      <selection activeCell="G3" sqref="A3:G3"/>
    </sheetView>
  </sheetViews>
  <sheetFormatPr defaultRowHeight="14.4" x14ac:dyDescent="0.3"/>
  <sheetData>
    <row r="1" spans="1:16" x14ac:dyDescent="0.3">
      <c r="H1">
        <v>3</v>
      </c>
      <c r="P1">
        <v>11</v>
      </c>
    </row>
    <row r="2" spans="1:16" x14ac:dyDescent="0.3">
      <c r="A2" s="5">
        <v>21</v>
      </c>
      <c r="B2" s="5" t="s">
        <v>1</v>
      </c>
      <c r="C2" s="5">
        <v>56</v>
      </c>
      <c r="D2" s="5">
        <v>0.25</v>
      </c>
      <c r="E2" s="5">
        <v>22.260010000000001</v>
      </c>
      <c r="F2" s="5" t="s">
        <v>109</v>
      </c>
      <c r="G2" s="5">
        <v>704291232</v>
      </c>
      <c r="I2" s="20">
        <v>21</v>
      </c>
      <c r="J2" s="20" t="s">
        <v>40</v>
      </c>
      <c r="K2" s="20">
        <v>7</v>
      </c>
      <c r="L2" s="20">
        <v>0.25</v>
      </c>
      <c r="M2" s="20">
        <v>5.7799990000000001</v>
      </c>
      <c r="N2" s="20" t="s">
        <v>278</v>
      </c>
      <c r="O2" s="20">
        <v>61397949</v>
      </c>
    </row>
    <row r="3" spans="1:16" x14ac:dyDescent="0.3">
      <c r="I3" s="20">
        <v>21</v>
      </c>
      <c r="J3" s="20" t="s">
        <v>40</v>
      </c>
      <c r="K3" s="20">
        <v>39</v>
      </c>
      <c r="L3" s="20">
        <v>0.25</v>
      </c>
      <c r="M3" s="20">
        <v>33.520000000000003</v>
      </c>
      <c r="N3" s="20" t="s">
        <v>279</v>
      </c>
      <c r="O3" s="20">
        <v>100262577</v>
      </c>
    </row>
    <row r="4" spans="1:16" x14ac:dyDescent="0.3">
      <c r="I4" s="20">
        <v>21</v>
      </c>
      <c r="J4" s="20" t="s">
        <v>40</v>
      </c>
      <c r="K4" s="20">
        <v>10</v>
      </c>
      <c r="L4" s="20">
        <v>0.25</v>
      </c>
      <c r="M4" s="20">
        <v>11.16</v>
      </c>
      <c r="N4" s="20" t="s">
        <v>280</v>
      </c>
      <c r="O4" s="20">
        <v>64962918</v>
      </c>
    </row>
    <row r="5" spans="1:16" x14ac:dyDescent="0.3">
      <c r="I5" s="20">
        <v>21</v>
      </c>
      <c r="J5" s="20" t="s">
        <v>40</v>
      </c>
      <c r="K5" s="20">
        <v>26</v>
      </c>
      <c r="L5" s="20">
        <v>0.25</v>
      </c>
      <c r="M5" s="20">
        <v>19.399989999999999</v>
      </c>
      <c r="N5" s="20" t="s">
        <v>281</v>
      </c>
      <c r="O5" s="20">
        <v>38732566</v>
      </c>
    </row>
    <row r="6" spans="1:16" x14ac:dyDescent="0.3">
      <c r="I6" s="20">
        <v>21</v>
      </c>
      <c r="J6" s="20" t="s">
        <v>40</v>
      </c>
      <c r="K6" s="20">
        <v>9</v>
      </c>
      <c r="L6" s="20">
        <v>0.25</v>
      </c>
      <c r="M6" s="20">
        <v>8.6600040000000007</v>
      </c>
      <c r="N6" s="20" t="s">
        <v>282</v>
      </c>
      <c r="O6" s="20">
        <v>64518380</v>
      </c>
    </row>
    <row r="7" spans="1:16" x14ac:dyDescent="0.3">
      <c r="I7" s="20">
        <v>21</v>
      </c>
      <c r="J7" s="20" t="s">
        <v>40</v>
      </c>
      <c r="K7" s="20">
        <v>12</v>
      </c>
      <c r="L7" s="20">
        <v>0.25</v>
      </c>
      <c r="M7" s="20">
        <v>6.3000030000000002</v>
      </c>
      <c r="N7" s="20" t="s">
        <v>283</v>
      </c>
      <c r="O7" s="20">
        <v>63877056</v>
      </c>
    </row>
    <row r="8" spans="1:16" x14ac:dyDescent="0.3">
      <c r="I8" s="20">
        <v>21</v>
      </c>
      <c r="J8" s="20" t="s">
        <v>40</v>
      </c>
      <c r="K8" s="20">
        <v>20</v>
      </c>
      <c r="L8" s="20">
        <v>0.25</v>
      </c>
      <c r="M8" s="20">
        <v>26.599989999999998</v>
      </c>
      <c r="N8" s="20" t="s">
        <v>284</v>
      </c>
      <c r="O8" s="20">
        <v>56942753</v>
      </c>
    </row>
    <row r="9" spans="1:16" x14ac:dyDescent="0.3">
      <c r="I9" s="20">
        <v>21</v>
      </c>
      <c r="J9" s="20" t="s">
        <v>40</v>
      </c>
      <c r="K9" s="20">
        <v>18</v>
      </c>
      <c r="L9" s="20">
        <v>0.25</v>
      </c>
      <c r="M9" s="20">
        <v>15.879989999999999</v>
      </c>
      <c r="N9" s="20" t="s">
        <v>285</v>
      </c>
      <c r="O9" s="20">
        <v>930151</v>
      </c>
    </row>
    <row r="10" spans="1:16" x14ac:dyDescent="0.3">
      <c r="I10" s="20">
        <v>21</v>
      </c>
      <c r="J10" s="20" t="s">
        <v>40</v>
      </c>
      <c r="K10" s="20">
        <v>15</v>
      </c>
      <c r="L10" s="20">
        <v>0.25</v>
      </c>
      <c r="M10" s="20">
        <v>10.959989999999999</v>
      </c>
      <c r="N10" s="20" t="s">
        <v>286</v>
      </c>
      <c r="O10" s="20">
        <v>6798188</v>
      </c>
    </row>
  </sheetData>
  <conditionalFormatting sqref="E2">
    <cfRule type="cellIs" dxfId="155" priority="30" operator="lessThan">
      <formula>0</formula>
    </cfRule>
  </conditionalFormatting>
  <conditionalFormatting sqref="C2">
    <cfRule type="cellIs" priority="29" operator="notBetween">
      <formula>0</formula>
      <formula>300</formula>
    </cfRule>
  </conditionalFormatting>
  <conditionalFormatting sqref="E2">
    <cfRule type="cellIs" dxfId="154" priority="28" operator="notBetween">
      <formula>0</formula>
      <formula>200</formula>
    </cfRule>
  </conditionalFormatting>
  <conditionalFormatting sqref="M2">
    <cfRule type="cellIs" dxfId="153" priority="27" operator="lessThan">
      <formula>0</formula>
    </cfRule>
  </conditionalFormatting>
  <conditionalFormatting sqref="K2">
    <cfRule type="cellIs" priority="26" operator="notBetween">
      <formula>0</formula>
      <formula>300</formula>
    </cfRule>
  </conditionalFormatting>
  <conditionalFormatting sqref="M2">
    <cfRule type="cellIs" dxfId="152" priority="25" operator="notBetween">
      <formula>0</formula>
      <formula>200</formula>
    </cfRule>
  </conditionalFormatting>
  <conditionalFormatting sqref="M3">
    <cfRule type="cellIs" dxfId="151" priority="24" operator="lessThan">
      <formula>0</formula>
    </cfRule>
  </conditionalFormatting>
  <conditionalFormatting sqref="K3">
    <cfRule type="cellIs" priority="23" operator="notBetween">
      <formula>0</formula>
      <formula>300</formula>
    </cfRule>
  </conditionalFormatting>
  <conditionalFormatting sqref="M3">
    <cfRule type="cellIs" dxfId="150" priority="22" operator="notBetween">
      <formula>0</formula>
      <formula>200</formula>
    </cfRule>
  </conditionalFormatting>
  <conditionalFormatting sqref="M4">
    <cfRule type="cellIs" dxfId="149" priority="21" operator="lessThan">
      <formula>0</formula>
    </cfRule>
  </conditionalFormatting>
  <conditionalFormatting sqref="K4">
    <cfRule type="cellIs" priority="20" operator="notBetween">
      <formula>0</formula>
      <formula>300</formula>
    </cfRule>
  </conditionalFormatting>
  <conditionalFormatting sqref="M4">
    <cfRule type="cellIs" dxfId="148" priority="19" operator="notBetween">
      <formula>0</formula>
      <formula>200</formula>
    </cfRule>
  </conditionalFormatting>
  <conditionalFormatting sqref="M5">
    <cfRule type="cellIs" dxfId="147" priority="18" operator="lessThan">
      <formula>0</formula>
    </cfRule>
  </conditionalFormatting>
  <conditionalFormatting sqref="K5">
    <cfRule type="cellIs" priority="17" operator="notBetween">
      <formula>0</formula>
      <formula>300</formula>
    </cfRule>
  </conditionalFormatting>
  <conditionalFormatting sqref="M5">
    <cfRule type="cellIs" dxfId="146" priority="16" operator="notBetween">
      <formula>0</formula>
      <formula>200</formula>
    </cfRule>
  </conditionalFormatting>
  <conditionalFormatting sqref="M6">
    <cfRule type="cellIs" dxfId="145" priority="15" operator="lessThan">
      <formula>0</formula>
    </cfRule>
  </conditionalFormatting>
  <conditionalFormatting sqref="K6">
    <cfRule type="cellIs" priority="14" operator="notBetween">
      <formula>0</formula>
      <formula>300</formula>
    </cfRule>
  </conditionalFormatting>
  <conditionalFormatting sqref="M6">
    <cfRule type="cellIs" dxfId="144" priority="13" operator="notBetween">
      <formula>0</formula>
      <formula>200</formula>
    </cfRule>
  </conditionalFormatting>
  <conditionalFormatting sqref="M7">
    <cfRule type="cellIs" dxfId="143" priority="12" operator="lessThan">
      <formula>0</formula>
    </cfRule>
  </conditionalFormatting>
  <conditionalFormatting sqref="K7">
    <cfRule type="cellIs" priority="11" operator="notBetween">
      <formula>0</formula>
      <formula>300</formula>
    </cfRule>
  </conditionalFormatting>
  <conditionalFormatting sqref="M7">
    <cfRule type="cellIs" dxfId="142" priority="10" operator="notBetween">
      <formula>0</formula>
      <formula>200</formula>
    </cfRule>
  </conditionalFormatting>
  <conditionalFormatting sqref="M8">
    <cfRule type="cellIs" dxfId="141" priority="9" operator="lessThan">
      <formula>0</formula>
    </cfRule>
  </conditionalFormatting>
  <conditionalFormatting sqref="K8">
    <cfRule type="cellIs" priority="8" operator="notBetween">
      <formula>0</formula>
      <formula>300</formula>
    </cfRule>
  </conditionalFormatting>
  <conditionalFormatting sqref="M8">
    <cfRule type="cellIs" dxfId="140" priority="7" operator="notBetween">
      <formula>0</formula>
      <formula>200</formula>
    </cfRule>
  </conditionalFormatting>
  <conditionalFormatting sqref="M9">
    <cfRule type="cellIs" dxfId="139" priority="6" operator="lessThan">
      <formula>0</formula>
    </cfRule>
  </conditionalFormatting>
  <conditionalFormatting sqref="K9">
    <cfRule type="cellIs" priority="5" operator="notBetween">
      <formula>0</formula>
      <formula>300</formula>
    </cfRule>
  </conditionalFormatting>
  <conditionalFormatting sqref="M9">
    <cfRule type="cellIs" dxfId="138" priority="4" operator="notBetween">
      <formula>0</formula>
      <formula>200</formula>
    </cfRule>
  </conditionalFormatting>
  <conditionalFormatting sqref="M10">
    <cfRule type="cellIs" dxfId="137" priority="3" operator="lessThan">
      <formula>0</formula>
    </cfRule>
  </conditionalFormatting>
  <conditionalFormatting sqref="K10">
    <cfRule type="cellIs" priority="2" operator="notBetween">
      <formula>0</formula>
      <formula>300</formula>
    </cfRule>
  </conditionalFormatting>
  <conditionalFormatting sqref="M10">
    <cfRule type="cellIs" dxfId="136" priority="1" operator="notBetween">
      <formula>0</formula>
      <formula>200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7F8FF-A9AC-4AF9-94CB-4735BC8F5674}">
  <sheetPr codeName="Blad33"/>
  <dimension ref="A1:P2"/>
  <sheetViews>
    <sheetView workbookViewId="0">
      <selection activeCell="G2" sqref="A2:G2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5">
        <v>22</v>
      </c>
      <c r="B2" s="5" t="s">
        <v>1</v>
      </c>
      <c r="C2" s="5">
        <v>132</v>
      </c>
      <c r="D2" s="5">
        <v>0.25</v>
      </c>
      <c r="E2" s="5">
        <v>102.78</v>
      </c>
      <c r="F2" s="5" t="s">
        <v>111</v>
      </c>
      <c r="G2" s="5">
        <v>-787119312</v>
      </c>
    </row>
  </sheetData>
  <conditionalFormatting sqref="E2">
    <cfRule type="cellIs" dxfId="13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34" priority="1" operator="notBetween">
      <formula>0</formula>
      <formula>200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597A5-97F8-43C0-93E6-07E33BE5C55C}">
  <sheetPr codeName="Blad34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3</v>
      </c>
    </row>
    <row r="2" spans="1:16" x14ac:dyDescent="0.3">
      <c r="A2" s="19">
        <v>23</v>
      </c>
      <c r="B2" s="19" t="s">
        <v>1</v>
      </c>
      <c r="C2" s="19">
        <v>84</v>
      </c>
      <c r="D2" s="19">
        <v>0.25</v>
      </c>
      <c r="E2" s="19">
        <v>52.22</v>
      </c>
      <c r="F2" s="19" t="s">
        <v>219</v>
      </c>
      <c r="G2" s="19">
        <v>244440321</v>
      </c>
      <c r="I2" s="19">
        <v>23</v>
      </c>
      <c r="J2" s="19" t="s">
        <v>40</v>
      </c>
      <c r="K2" s="19">
        <v>12</v>
      </c>
      <c r="L2" s="19">
        <v>0.25</v>
      </c>
      <c r="M2" s="19">
        <v>7.5</v>
      </c>
      <c r="N2" s="19" t="s">
        <v>218</v>
      </c>
      <c r="O2" s="19">
        <v>35235347</v>
      </c>
    </row>
  </sheetData>
  <conditionalFormatting sqref="M2">
    <cfRule type="cellIs" dxfId="133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132" priority="4" operator="notBetween">
      <formula>0</formula>
      <formula>200</formula>
    </cfRule>
  </conditionalFormatting>
  <conditionalFormatting sqref="E2">
    <cfRule type="cellIs" dxfId="13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30" priority="1" operator="notBetween">
      <formula>0</formula>
      <formula>200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EA9A-944F-4410-B33E-3F7CC35ED64F}">
  <sheetPr codeName="Blad35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24</v>
      </c>
      <c r="B2" s="19" t="s">
        <v>1</v>
      </c>
      <c r="C2" s="19">
        <v>183</v>
      </c>
      <c r="D2" s="19">
        <v>0.25</v>
      </c>
      <c r="E2" s="19">
        <v>83.06</v>
      </c>
      <c r="F2" s="19" t="s">
        <v>220</v>
      </c>
      <c r="G2" s="19">
        <v>565</v>
      </c>
    </row>
  </sheetData>
  <conditionalFormatting sqref="E2">
    <cfRule type="cellIs" dxfId="12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28" priority="1" operator="notBetween">
      <formula>0</formula>
      <formula>200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96F27-80A3-46A8-9B22-A7E5CFEE9DA0}">
  <sheetPr codeName="Blad36"/>
  <dimension ref="A1:P2"/>
  <sheetViews>
    <sheetView workbookViewId="0">
      <selection activeCell="M27" sqref="M27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25</v>
      </c>
      <c r="B2" s="19" t="s">
        <v>1</v>
      </c>
      <c r="C2" s="19">
        <v>100</v>
      </c>
      <c r="D2" s="19">
        <v>0.25</v>
      </c>
      <c r="E2" s="19">
        <v>40.340000000000003</v>
      </c>
      <c r="F2" s="19" t="s">
        <v>221</v>
      </c>
      <c r="G2" s="19">
        <v>334</v>
      </c>
    </row>
  </sheetData>
  <conditionalFormatting sqref="E2">
    <cfRule type="cellIs" dxfId="12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26" priority="1" operator="notBetween">
      <formula>0</formula>
      <formula>200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A2DE-F15E-43FA-B1E2-1BD527AE35F5}">
  <sheetPr codeName="Blad37"/>
  <dimension ref="A1:P3"/>
  <sheetViews>
    <sheetView workbookViewId="0"/>
  </sheetViews>
  <sheetFormatPr defaultRowHeight="14.4" x14ac:dyDescent="0.3"/>
  <sheetData>
    <row r="1" spans="1:16" x14ac:dyDescent="0.3">
      <c r="H1">
        <v>3</v>
      </c>
      <c r="P1">
        <v>4</v>
      </c>
    </row>
    <row r="2" spans="1:16" x14ac:dyDescent="0.3">
      <c r="A2" s="19">
        <v>26</v>
      </c>
      <c r="B2" s="19" t="s">
        <v>1</v>
      </c>
      <c r="C2" s="19">
        <v>142</v>
      </c>
      <c r="D2" s="19">
        <v>0.25</v>
      </c>
      <c r="E2" s="19">
        <v>47.57996</v>
      </c>
      <c r="F2" s="19" t="s">
        <v>224</v>
      </c>
      <c r="G2" s="19">
        <v>515</v>
      </c>
      <c r="I2" s="19">
        <v>26</v>
      </c>
      <c r="J2" s="19" t="s">
        <v>40</v>
      </c>
      <c r="K2" s="19">
        <v>55</v>
      </c>
      <c r="L2" s="19">
        <v>0.25</v>
      </c>
      <c r="M2" s="19">
        <v>18.72</v>
      </c>
      <c r="N2" s="19" t="s">
        <v>222</v>
      </c>
      <c r="O2" s="19">
        <v>48731429</v>
      </c>
    </row>
    <row r="3" spans="1:16" x14ac:dyDescent="0.3">
      <c r="I3" s="19">
        <v>26</v>
      </c>
      <c r="J3" s="19" t="s">
        <v>40</v>
      </c>
      <c r="K3" s="19">
        <v>123</v>
      </c>
      <c r="L3" s="19">
        <v>0.25</v>
      </c>
      <c r="M3" s="19">
        <v>73.919979999999995</v>
      </c>
      <c r="N3" s="19" t="s">
        <v>223</v>
      </c>
      <c r="O3" s="19">
        <v>105120440</v>
      </c>
    </row>
  </sheetData>
  <conditionalFormatting sqref="M2">
    <cfRule type="cellIs" dxfId="125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124" priority="7" operator="notBetween">
      <formula>0</formula>
      <formula>200</formula>
    </cfRule>
  </conditionalFormatting>
  <conditionalFormatting sqref="M3">
    <cfRule type="cellIs" dxfId="123" priority="6" operator="lessThan">
      <formula>0</formula>
    </cfRule>
  </conditionalFormatting>
  <conditionalFormatting sqref="K3">
    <cfRule type="cellIs" priority="5" operator="notBetween">
      <formula>0</formula>
      <formula>300</formula>
    </cfRule>
  </conditionalFormatting>
  <conditionalFormatting sqref="M3">
    <cfRule type="cellIs" dxfId="122" priority="4" operator="notBetween">
      <formula>0</formula>
      <formula>200</formula>
    </cfRule>
  </conditionalFormatting>
  <conditionalFormatting sqref="E2">
    <cfRule type="cellIs" dxfId="12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20" priority="1" operator="notBetween">
      <formula>0</formula>
      <formula>200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954BB-11D7-4A44-8BA0-BE676983FFCB}">
  <sheetPr codeName="Blad38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27</v>
      </c>
      <c r="B2" s="19" t="s">
        <v>1</v>
      </c>
      <c r="C2" s="19">
        <v>81</v>
      </c>
      <c r="D2" s="19">
        <v>0.25</v>
      </c>
      <c r="E2" s="19">
        <v>45.5</v>
      </c>
      <c r="F2" s="19" t="s">
        <v>225</v>
      </c>
      <c r="G2" s="19">
        <v>192760314</v>
      </c>
    </row>
  </sheetData>
  <conditionalFormatting sqref="E2">
    <cfRule type="cellIs" dxfId="11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18" priority="1" operator="notBetween">
      <formula>0</formula>
      <formula>200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630F1-2F60-48B2-83B9-CA118E07CACB}">
  <sheetPr codeName="Blad39"/>
  <dimension ref="H1:P2"/>
  <sheetViews>
    <sheetView workbookViewId="0"/>
  </sheetViews>
  <sheetFormatPr defaultRowHeight="14.4" x14ac:dyDescent="0.3"/>
  <sheetData>
    <row r="1" spans="8:16" x14ac:dyDescent="0.3">
      <c r="H1">
        <v>2</v>
      </c>
      <c r="P1">
        <v>3</v>
      </c>
    </row>
    <row r="2" spans="8:16" x14ac:dyDescent="0.3">
      <c r="I2" s="19">
        <v>28</v>
      </c>
      <c r="J2" s="19" t="s">
        <v>40</v>
      </c>
      <c r="K2" s="19">
        <v>74</v>
      </c>
      <c r="L2" s="19">
        <v>0.25</v>
      </c>
      <c r="M2" s="19">
        <v>26.66</v>
      </c>
      <c r="N2" s="19" t="s">
        <v>226</v>
      </c>
      <c r="O2" s="19">
        <v>251791640</v>
      </c>
    </row>
  </sheetData>
  <conditionalFormatting sqref="M2">
    <cfRule type="cellIs" dxfId="117" priority="3" operator="lessThan">
      <formula>0</formula>
    </cfRule>
  </conditionalFormatting>
  <conditionalFormatting sqref="K2">
    <cfRule type="cellIs" priority="2" operator="notBetween">
      <formula>0</formula>
      <formula>300</formula>
    </cfRule>
  </conditionalFormatting>
  <conditionalFormatting sqref="M2">
    <cfRule type="cellIs" dxfId="116" priority="1" operator="notBetween">
      <formula>0</formula>
      <formula>200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20806-CFD1-4263-82EC-481B7E36F3FF}">
  <sheetPr codeName="Blad40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29</v>
      </c>
      <c r="B2" s="19" t="s">
        <v>1</v>
      </c>
      <c r="C2" s="19">
        <v>110</v>
      </c>
      <c r="D2" s="19">
        <v>0.25</v>
      </c>
      <c r="E2" s="19">
        <v>60.620010000000001</v>
      </c>
      <c r="F2" s="19" t="s">
        <v>227</v>
      </c>
      <c r="G2" s="19">
        <v>364</v>
      </c>
    </row>
  </sheetData>
  <conditionalFormatting sqref="E2">
    <cfRule type="cellIs" dxfId="11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14" priority="1" operator="notBetween">
      <formula>0</formula>
      <formula>200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A2B31-CCD8-489F-B439-AC7E9B74A6DD}">
  <sheetPr codeName="Blad41"/>
  <dimension ref="A1:P4"/>
  <sheetViews>
    <sheetView workbookViewId="0">
      <selection sqref="A1:H4"/>
    </sheetView>
  </sheetViews>
  <sheetFormatPr defaultRowHeight="14.4" x14ac:dyDescent="0.3"/>
  <sheetData>
    <row r="1" spans="1:16" x14ac:dyDescent="0.3">
      <c r="H1">
        <v>5</v>
      </c>
      <c r="P1">
        <v>2</v>
      </c>
    </row>
    <row r="2" spans="1:16" x14ac:dyDescent="0.3">
      <c r="A2" s="18">
        <v>30</v>
      </c>
      <c r="B2" s="18" t="s">
        <v>1</v>
      </c>
      <c r="C2" s="18">
        <v>40</v>
      </c>
      <c r="D2" s="18">
        <v>0.25</v>
      </c>
      <c r="E2" s="18">
        <v>13.34</v>
      </c>
      <c r="F2" s="18" t="s">
        <v>100</v>
      </c>
      <c r="G2" s="18">
        <v>133041978</v>
      </c>
    </row>
    <row r="3" spans="1:16" x14ac:dyDescent="0.3">
      <c r="A3" s="19">
        <v>30</v>
      </c>
      <c r="B3" s="19" t="s">
        <v>1</v>
      </c>
      <c r="C3" s="19">
        <v>40</v>
      </c>
      <c r="D3" s="19">
        <v>0.25</v>
      </c>
      <c r="E3" s="19">
        <v>12.42001</v>
      </c>
      <c r="F3" s="19" t="s">
        <v>100</v>
      </c>
      <c r="G3" s="19">
        <v>80145785</v>
      </c>
    </row>
    <row r="4" spans="1:16" x14ac:dyDescent="0.3">
      <c r="A4" s="19">
        <v>30</v>
      </c>
      <c r="B4" s="19" t="s">
        <v>1</v>
      </c>
      <c r="C4" s="19">
        <v>40</v>
      </c>
      <c r="D4" s="19">
        <v>0.25</v>
      </c>
      <c r="E4" s="19">
        <v>12.28</v>
      </c>
      <c r="F4" s="19" t="s">
        <v>100</v>
      </c>
      <c r="G4" s="19">
        <v>42240188</v>
      </c>
    </row>
  </sheetData>
  <conditionalFormatting sqref="E2">
    <cfRule type="cellIs" dxfId="113" priority="9" operator="lessThan">
      <formula>0</formula>
    </cfRule>
  </conditionalFormatting>
  <conditionalFormatting sqref="C2">
    <cfRule type="cellIs" priority="8" operator="notBetween">
      <formula>0</formula>
      <formula>300</formula>
    </cfRule>
  </conditionalFormatting>
  <conditionalFormatting sqref="E2">
    <cfRule type="cellIs" dxfId="112" priority="7" operator="notBetween">
      <formula>0</formula>
      <formula>200</formula>
    </cfRule>
  </conditionalFormatting>
  <conditionalFormatting sqref="E3">
    <cfRule type="cellIs" dxfId="111" priority="6" operator="lessThan">
      <formula>0</formula>
    </cfRule>
  </conditionalFormatting>
  <conditionalFormatting sqref="C3">
    <cfRule type="cellIs" priority="5" operator="notBetween">
      <formula>0</formula>
      <formula>300</formula>
    </cfRule>
  </conditionalFormatting>
  <conditionalFormatting sqref="E3">
    <cfRule type="cellIs" dxfId="110" priority="4" operator="notBetween">
      <formula>0</formula>
      <formula>200</formula>
    </cfRule>
  </conditionalFormatting>
  <conditionalFormatting sqref="E4">
    <cfRule type="cellIs" dxfId="109" priority="3" operator="lessThan">
      <formula>0</formula>
    </cfRule>
  </conditionalFormatting>
  <conditionalFormatting sqref="C4">
    <cfRule type="cellIs" priority="2" operator="notBetween">
      <formula>0</formula>
      <formula>300</formula>
    </cfRule>
  </conditionalFormatting>
  <conditionalFormatting sqref="E4">
    <cfRule type="cellIs" dxfId="108" priority="1" operator="notBetween">
      <formula>0</formula>
      <formula>200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2AD8D-63DE-4EAE-870E-F47F3F1A1EA7}">
  <sheetPr codeName="Blad42"/>
  <dimension ref="A1:P5"/>
  <sheetViews>
    <sheetView workbookViewId="0">
      <selection sqref="A1:H7"/>
    </sheetView>
  </sheetViews>
  <sheetFormatPr defaultRowHeight="14.4" x14ac:dyDescent="0.3"/>
  <sheetData>
    <row r="1" spans="1:16" x14ac:dyDescent="0.3">
      <c r="H1">
        <v>6</v>
      </c>
      <c r="P1">
        <v>5</v>
      </c>
    </row>
    <row r="2" spans="1:16" x14ac:dyDescent="0.3">
      <c r="A2" s="18">
        <v>31</v>
      </c>
      <c r="B2" s="18" t="s">
        <v>1</v>
      </c>
      <c r="C2" s="18">
        <v>34</v>
      </c>
      <c r="D2" s="18">
        <v>0.25</v>
      </c>
      <c r="E2" s="18">
        <v>11.94</v>
      </c>
      <c r="F2" s="18" t="s">
        <v>238</v>
      </c>
      <c r="G2" s="18">
        <v>75680178</v>
      </c>
      <c r="I2" s="18">
        <v>31</v>
      </c>
      <c r="J2" s="18" t="s">
        <v>40</v>
      </c>
      <c r="K2" s="18">
        <v>34</v>
      </c>
      <c r="L2" s="18">
        <v>0.25</v>
      </c>
      <c r="M2" s="18">
        <v>25.899989999999999</v>
      </c>
      <c r="N2" s="18" t="s">
        <v>238</v>
      </c>
      <c r="O2" s="18">
        <v>113866753</v>
      </c>
    </row>
    <row r="3" spans="1:16" x14ac:dyDescent="0.3">
      <c r="A3" s="18">
        <v>31</v>
      </c>
      <c r="B3" s="18" t="s">
        <v>1</v>
      </c>
      <c r="C3" s="18">
        <v>30</v>
      </c>
      <c r="D3" s="18">
        <v>0.25</v>
      </c>
      <c r="E3" s="18">
        <v>11.739990000000001</v>
      </c>
      <c r="F3" s="18" t="s">
        <v>239</v>
      </c>
      <c r="G3" s="18">
        <v>112200192</v>
      </c>
      <c r="I3" s="18">
        <v>31</v>
      </c>
      <c r="J3" s="18" t="s">
        <v>40</v>
      </c>
      <c r="K3" s="18">
        <v>30</v>
      </c>
      <c r="L3" s="18">
        <v>0.25</v>
      </c>
      <c r="M3" s="18">
        <v>13.42</v>
      </c>
      <c r="N3" s="18" t="s">
        <v>239</v>
      </c>
      <c r="O3" s="18">
        <v>138228622</v>
      </c>
    </row>
    <row r="4" spans="1:16" x14ac:dyDescent="0.3">
      <c r="A4" s="18">
        <v>31</v>
      </c>
      <c r="B4" s="18" t="s">
        <v>1</v>
      </c>
      <c r="C4" s="18">
        <v>28</v>
      </c>
      <c r="D4" s="18">
        <v>0.25</v>
      </c>
      <c r="E4" s="18">
        <v>9.5</v>
      </c>
      <c r="F4" s="18" t="s">
        <v>240</v>
      </c>
      <c r="G4" s="18">
        <v>22401171</v>
      </c>
      <c r="I4" s="19">
        <v>31</v>
      </c>
      <c r="J4" s="19" t="s">
        <v>40</v>
      </c>
      <c r="K4" s="19">
        <v>14</v>
      </c>
      <c r="L4" s="19">
        <v>0.25</v>
      </c>
      <c r="M4" s="19">
        <v>5.4600030000000004</v>
      </c>
      <c r="N4" s="19" t="s">
        <v>259</v>
      </c>
      <c r="O4" s="19">
        <v>82991024</v>
      </c>
    </row>
    <row r="5" spans="1:16" x14ac:dyDescent="0.3">
      <c r="A5" s="19">
        <v>31</v>
      </c>
      <c r="B5" s="19" t="s">
        <v>1</v>
      </c>
      <c r="C5" s="19">
        <v>34</v>
      </c>
      <c r="D5" s="19">
        <v>0.25</v>
      </c>
      <c r="E5" s="19">
        <v>14.18</v>
      </c>
      <c r="F5" s="19" t="s">
        <v>238</v>
      </c>
      <c r="G5" s="19">
        <v>55114161</v>
      </c>
    </row>
  </sheetData>
  <conditionalFormatting sqref="E2">
    <cfRule type="cellIs" dxfId="107" priority="21" operator="lessThan">
      <formula>0</formula>
    </cfRule>
  </conditionalFormatting>
  <conditionalFormatting sqref="C2">
    <cfRule type="cellIs" priority="20" operator="notBetween">
      <formula>0</formula>
      <formula>300</formula>
    </cfRule>
  </conditionalFormatting>
  <conditionalFormatting sqref="E2">
    <cfRule type="cellIs" dxfId="106" priority="19" operator="notBetween">
      <formula>0</formula>
      <formula>200</formula>
    </cfRule>
  </conditionalFormatting>
  <conditionalFormatting sqref="M2">
    <cfRule type="cellIs" dxfId="105" priority="18" operator="lessThan">
      <formula>0</formula>
    </cfRule>
  </conditionalFormatting>
  <conditionalFormatting sqref="K2">
    <cfRule type="cellIs" priority="17" operator="notBetween">
      <formula>0</formula>
      <formula>300</formula>
    </cfRule>
  </conditionalFormatting>
  <conditionalFormatting sqref="M2">
    <cfRule type="cellIs" dxfId="104" priority="16" operator="notBetween">
      <formula>0</formula>
      <formula>200</formula>
    </cfRule>
  </conditionalFormatting>
  <conditionalFormatting sqref="E3">
    <cfRule type="cellIs" dxfId="103" priority="15" operator="lessThan">
      <formula>0</formula>
    </cfRule>
  </conditionalFormatting>
  <conditionalFormatting sqref="C3">
    <cfRule type="cellIs" priority="14" operator="notBetween">
      <formula>0</formula>
      <formula>300</formula>
    </cfRule>
  </conditionalFormatting>
  <conditionalFormatting sqref="E3">
    <cfRule type="cellIs" dxfId="102" priority="13" operator="notBetween">
      <formula>0</formula>
      <formula>200</formula>
    </cfRule>
  </conditionalFormatting>
  <conditionalFormatting sqref="M3">
    <cfRule type="cellIs" dxfId="101" priority="12" operator="lessThan">
      <formula>0</formula>
    </cfRule>
  </conditionalFormatting>
  <conditionalFormatting sqref="K3">
    <cfRule type="cellIs" priority="11" operator="notBetween">
      <formula>0</formula>
      <formula>300</formula>
    </cfRule>
  </conditionalFormatting>
  <conditionalFormatting sqref="M3">
    <cfRule type="cellIs" dxfId="100" priority="10" operator="notBetween">
      <formula>0</formula>
      <formula>200</formula>
    </cfRule>
  </conditionalFormatting>
  <conditionalFormatting sqref="E4">
    <cfRule type="cellIs" dxfId="99" priority="9" operator="lessThan">
      <formula>0</formula>
    </cfRule>
  </conditionalFormatting>
  <conditionalFormatting sqref="C4">
    <cfRule type="cellIs" priority="8" operator="notBetween">
      <formula>0</formula>
      <formula>300</formula>
    </cfRule>
  </conditionalFormatting>
  <conditionalFormatting sqref="E4">
    <cfRule type="cellIs" dxfId="98" priority="7" operator="notBetween">
      <formula>0</formula>
      <formula>200</formula>
    </cfRule>
  </conditionalFormatting>
  <conditionalFormatting sqref="M4">
    <cfRule type="cellIs" dxfId="97" priority="6" operator="lessThan">
      <formula>0</formula>
    </cfRule>
  </conditionalFormatting>
  <conditionalFormatting sqref="K4">
    <cfRule type="cellIs" priority="5" operator="notBetween">
      <formula>0</formula>
      <formula>300</formula>
    </cfRule>
  </conditionalFormatting>
  <conditionalFormatting sqref="M4">
    <cfRule type="cellIs" dxfId="96" priority="4" operator="notBetween">
      <formula>0</formula>
      <formula>200</formula>
    </cfRule>
  </conditionalFormatting>
  <conditionalFormatting sqref="E5">
    <cfRule type="cellIs" dxfId="95" priority="3" operator="lessThan">
      <formula>0</formula>
    </cfRule>
  </conditionalFormatting>
  <conditionalFormatting sqref="C5">
    <cfRule type="cellIs" priority="2" operator="notBetween">
      <formula>0</formula>
      <formula>300</formula>
    </cfRule>
  </conditionalFormatting>
  <conditionalFormatting sqref="E5">
    <cfRule type="cellIs" dxfId="94" priority="1" operator="notBetween">
      <formula>0</formula>
      <formula>200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68A-A154-4D83-925D-7ED2E2123BE9}">
  <sheetPr codeName="Blad43"/>
  <dimension ref="A1:P3"/>
  <sheetViews>
    <sheetView workbookViewId="0">
      <selection sqref="A1:H4"/>
    </sheetView>
  </sheetViews>
  <sheetFormatPr defaultRowHeight="14.4" x14ac:dyDescent="0.3"/>
  <sheetData>
    <row r="1" spans="1:16" x14ac:dyDescent="0.3">
      <c r="H1">
        <v>4</v>
      </c>
      <c r="P1">
        <v>3</v>
      </c>
    </row>
    <row r="2" spans="1:16" x14ac:dyDescent="0.3">
      <c r="A2" s="18">
        <v>32</v>
      </c>
      <c r="B2" s="18" t="s">
        <v>1</v>
      </c>
      <c r="C2" s="18">
        <v>32</v>
      </c>
      <c r="D2" s="18">
        <v>0.25</v>
      </c>
      <c r="E2" s="18">
        <v>11.44</v>
      </c>
      <c r="F2" s="18" t="s">
        <v>24</v>
      </c>
      <c r="G2" s="18">
        <v>73382570</v>
      </c>
      <c r="I2" s="18">
        <v>32</v>
      </c>
      <c r="J2" s="18" t="s">
        <v>40</v>
      </c>
      <c r="K2" s="18">
        <v>7</v>
      </c>
      <c r="L2" s="18">
        <v>0.25</v>
      </c>
      <c r="M2" s="18">
        <v>3</v>
      </c>
      <c r="N2" s="18" t="s">
        <v>241</v>
      </c>
      <c r="O2" s="18">
        <v>48188033</v>
      </c>
    </row>
    <row r="3" spans="1:16" x14ac:dyDescent="0.3">
      <c r="A3" s="19">
        <v>32</v>
      </c>
      <c r="B3" s="19" t="s">
        <v>1</v>
      </c>
      <c r="C3" s="19">
        <v>32</v>
      </c>
      <c r="D3" s="19">
        <v>0.25</v>
      </c>
      <c r="E3" s="19">
        <v>10.220000000000001</v>
      </c>
      <c r="F3" s="19" t="s">
        <v>24</v>
      </c>
      <c r="G3" s="19">
        <v>49030565</v>
      </c>
    </row>
  </sheetData>
  <conditionalFormatting sqref="M2">
    <cfRule type="cellIs" dxfId="93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92" priority="7" operator="notBetween">
      <formula>0</formula>
      <formula>200</formula>
    </cfRule>
  </conditionalFormatting>
  <conditionalFormatting sqref="E2">
    <cfRule type="cellIs" dxfId="91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90" priority="4" operator="notBetween">
      <formula>0</formula>
      <formula>200</formula>
    </cfRule>
  </conditionalFormatting>
  <conditionalFormatting sqref="E3">
    <cfRule type="cellIs" dxfId="89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88" priority="1" operator="notBetween">
      <formula>0</formula>
      <formula>200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53130-573F-46E8-AC91-E36FB7741FA1}">
  <sheetPr codeName="Blad44"/>
  <dimension ref="A1:P2"/>
  <sheetViews>
    <sheetView workbookViewId="0">
      <selection sqref="A1:H4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8">
        <v>33</v>
      </c>
      <c r="B2" s="18" t="s">
        <v>1</v>
      </c>
      <c r="C2" s="18">
        <v>39</v>
      </c>
      <c r="D2" s="18">
        <v>0.25</v>
      </c>
      <c r="E2" s="18">
        <v>15.94</v>
      </c>
      <c r="F2" s="18" t="s">
        <v>242</v>
      </c>
      <c r="G2" s="18">
        <v>13398211</v>
      </c>
    </row>
  </sheetData>
  <conditionalFormatting sqref="E2">
    <cfRule type="cellIs" dxfId="8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86" priority="1" operator="notBetween">
      <formula>0</formula>
      <formula>200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18BEC-65E3-4DAB-A365-E24C35CBF0C3}">
  <sheetPr codeName="Blad45"/>
  <dimension ref="A1:P2"/>
  <sheetViews>
    <sheetView workbookViewId="0">
      <selection sqref="A1:H4"/>
    </sheetView>
  </sheetViews>
  <sheetFormatPr defaultRowHeight="14.4" x14ac:dyDescent="0.3"/>
  <sheetData>
    <row r="1" spans="1:16" x14ac:dyDescent="0.3">
      <c r="H1">
        <v>3</v>
      </c>
      <c r="P1">
        <v>3</v>
      </c>
    </row>
    <row r="2" spans="1:16" x14ac:dyDescent="0.3">
      <c r="A2" s="18">
        <v>34</v>
      </c>
      <c r="B2" s="18" t="s">
        <v>1</v>
      </c>
      <c r="C2" s="18">
        <v>94</v>
      </c>
      <c r="D2" s="18">
        <v>0.25</v>
      </c>
      <c r="E2" s="18">
        <v>41.679989999999997</v>
      </c>
      <c r="F2" s="18" t="s">
        <v>244</v>
      </c>
      <c r="G2" s="18">
        <v>73800373</v>
      </c>
      <c r="I2" s="18">
        <v>34</v>
      </c>
      <c r="J2" s="18" t="s">
        <v>40</v>
      </c>
      <c r="K2" s="18">
        <v>54</v>
      </c>
      <c r="L2" s="18">
        <v>0.25</v>
      </c>
      <c r="M2" s="18">
        <v>108.78</v>
      </c>
      <c r="N2" s="18" t="s">
        <v>243</v>
      </c>
      <c r="O2" s="18">
        <v>173250231</v>
      </c>
    </row>
  </sheetData>
  <conditionalFormatting sqref="M2">
    <cfRule type="cellIs" dxfId="85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84" priority="4" operator="notBetween">
      <formula>0</formula>
      <formula>200</formula>
    </cfRule>
  </conditionalFormatting>
  <conditionalFormatting sqref="E2">
    <cfRule type="cellIs" dxfId="8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82" priority="1" operator="notBetween">
      <formula>0</formula>
      <formula>200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97A9-ABED-46F2-A616-9966DEB2BDC3}">
  <sheetPr codeName="Blad46"/>
  <dimension ref="A1:P3"/>
  <sheetViews>
    <sheetView workbookViewId="0">
      <selection activeCell="E2" sqref="E2"/>
    </sheetView>
  </sheetViews>
  <sheetFormatPr defaultRowHeight="14.4" x14ac:dyDescent="0.3"/>
  <sheetData>
    <row r="1" spans="1:16" x14ac:dyDescent="0.3">
      <c r="H1">
        <v>4</v>
      </c>
      <c r="P1">
        <v>2</v>
      </c>
    </row>
    <row r="2" spans="1:16" x14ac:dyDescent="0.3">
      <c r="A2" s="18">
        <v>35</v>
      </c>
      <c r="B2" s="18" t="s">
        <v>1</v>
      </c>
      <c r="C2" s="18">
        <v>84</v>
      </c>
      <c r="D2" s="18">
        <v>0.25</v>
      </c>
      <c r="E2" s="18">
        <v>33.959989999999998</v>
      </c>
      <c r="F2" s="18" t="s">
        <v>140</v>
      </c>
      <c r="G2" s="18">
        <v>635526574</v>
      </c>
    </row>
    <row r="3" spans="1:16" x14ac:dyDescent="0.3">
      <c r="A3" s="18">
        <v>35</v>
      </c>
      <c r="B3" s="18" t="s">
        <v>1</v>
      </c>
      <c r="C3" s="18">
        <v>76</v>
      </c>
      <c r="D3" s="18">
        <v>0.25</v>
      </c>
      <c r="E3" s="18">
        <v>28.319949999999999</v>
      </c>
      <c r="F3" s="18" t="s">
        <v>245</v>
      </c>
      <c r="G3" s="18">
        <v>167404467</v>
      </c>
    </row>
  </sheetData>
  <conditionalFormatting sqref="E2">
    <cfRule type="cellIs" dxfId="81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80" priority="4" operator="notBetween">
      <formula>0</formula>
      <formula>200</formula>
    </cfRule>
  </conditionalFormatting>
  <conditionalFormatting sqref="E3">
    <cfRule type="cellIs" dxfId="79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78" priority="1" operator="notBetween">
      <formula>0</formula>
      <formula>200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2F6-3196-471B-A3A3-96C8B64AEEA0}">
  <sheetPr codeName="Blad47"/>
  <dimension ref="A1:P4"/>
  <sheetViews>
    <sheetView workbookViewId="0">
      <selection activeCell="B19" sqref="B19"/>
    </sheetView>
  </sheetViews>
  <sheetFormatPr defaultRowHeight="14.4" x14ac:dyDescent="0.3"/>
  <sheetData>
    <row r="1" spans="1:16" x14ac:dyDescent="0.3">
      <c r="H1">
        <v>5</v>
      </c>
      <c r="P1">
        <v>3</v>
      </c>
    </row>
    <row r="2" spans="1:16" x14ac:dyDescent="0.3">
      <c r="A2" s="18">
        <v>36</v>
      </c>
      <c r="B2" s="18" t="s">
        <v>1</v>
      </c>
      <c r="C2" s="18">
        <v>29</v>
      </c>
      <c r="D2" s="18">
        <v>0.25</v>
      </c>
      <c r="E2" s="18">
        <v>10.78</v>
      </c>
      <c r="F2" s="18" t="s">
        <v>149</v>
      </c>
      <c r="G2" s="18">
        <v>1805300419</v>
      </c>
      <c r="I2" s="18">
        <v>36</v>
      </c>
      <c r="J2" s="18" t="s">
        <v>40</v>
      </c>
      <c r="K2" s="18">
        <v>39</v>
      </c>
      <c r="L2" s="18">
        <v>0.25</v>
      </c>
      <c r="M2" s="18">
        <v>25.5</v>
      </c>
      <c r="N2" s="18" t="s">
        <v>246</v>
      </c>
      <c r="O2" s="18">
        <v>560183</v>
      </c>
    </row>
    <row r="3" spans="1:16" x14ac:dyDescent="0.3">
      <c r="A3" s="18">
        <v>36</v>
      </c>
      <c r="B3" s="18" t="s">
        <v>1</v>
      </c>
      <c r="C3" s="18">
        <v>39</v>
      </c>
      <c r="D3" s="18">
        <v>0.25</v>
      </c>
      <c r="E3" s="18">
        <v>22.760010000000001</v>
      </c>
      <c r="F3" s="18" t="s">
        <v>246</v>
      </c>
      <c r="G3" s="18">
        <v>146523090</v>
      </c>
    </row>
    <row r="4" spans="1:16" x14ac:dyDescent="0.3">
      <c r="A4" s="18">
        <v>36</v>
      </c>
      <c r="B4" s="18" t="s">
        <v>1</v>
      </c>
      <c r="C4" s="18">
        <v>29</v>
      </c>
      <c r="D4" s="18">
        <v>0.25</v>
      </c>
      <c r="E4" s="18">
        <v>10.34003</v>
      </c>
      <c r="F4" s="18" t="s">
        <v>149</v>
      </c>
      <c r="G4" s="18">
        <v>135674179</v>
      </c>
    </row>
  </sheetData>
  <conditionalFormatting sqref="E2">
    <cfRule type="cellIs" dxfId="77" priority="12" operator="lessThan">
      <formula>0</formula>
    </cfRule>
  </conditionalFormatting>
  <conditionalFormatting sqref="C2">
    <cfRule type="cellIs" priority="11" operator="notBetween">
      <formula>0</formula>
      <formula>300</formula>
    </cfRule>
  </conditionalFormatting>
  <conditionalFormatting sqref="E2">
    <cfRule type="cellIs" dxfId="76" priority="10" operator="notBetween">
      <formula>0</formula>
      <formula>200</formula>
    </cfRule>
  </conditionalFormatting>
  <conditionalFormatting sqref="E3">
    <cfRule type="cellIs" dxfId="75" priority="9" operator="lessThan">
      <formula>0</formula>
    </cfRule>
  </conditionalFormatting>
  <conditionalFormatting sqref="C3">
    <cfRule type="cellIs" priority="8" operator="notBetween">
      <formula>0</formula>
      <formula>300</formula>
    </cfRule>
  </conditionalFormatting>
  <conditionalFormatting sqref="E3">
    <cfRule type="cellIs" dxfId="74" priority="7" operator="notBetween">
      <formula>0</formula>
      <formula>200</formula>
    </cfRule>
  </conditionalFormatting>
  <conditionalFormatting sqref="M2">
    <cfRule type="cellIs" dxfId="73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72" priority="4" operator="notBetween">
      <formula>0</formula>
      <formula>200</formula>
    </cfRule>
  </conditionalFormatting>
  <conditionalFormatting sqref="E4">
    <cfRule type="cellIs" dxfId="71" priority="3" operator="lessThan">
      <formula>0</formula>
    </cfRule>
  </conditionalFormatting>
  <conditionalFormatting sqref="C4">
    <cfRule type="cellIs" priority="2" operator="notBetween">
      <formula>0</formula>
      <formula>300</formula>
    </cfRule>
  </conditionalFormatting>
  <conditionalFormatting sqref="E4">
    <cfRule type="cellIs" dxfId="70" priority="1" operator="notBetween">
      <formula>0</formula>
      <formula>200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521EE-8F1D-453F-BC58-DC986B1620CE}">
  <sheetPr codeName="Blad48"/>
  <dimension ref="A1:P3"/>
  <sheetViews>
    <sheetView workbookViewId="0">
      <selection sqref="A1:H4"/>
    </sheetView>
  </sheetViews>
  <sheetFormatPr defaultRowHeight="14.4" x14ac:dyDescent="0.3"/>
  <sheetData>
    <row r="1" spans="1:16" x14ac:dyDescent="0.3">
      <c r="H1">
        <v>4</v>
      </c>
      <c r="P1">
        <v>3</v>
      </c>
    </row>
    <row r="2" spans="1:16" x14ac:dyDescent="0.3">
      <c r="A2" s="18">
        <v>37</v>
      </c>
      <c r="B2" s="18" t="s">
        <v>1</v>
      </c>
      <c r="C2" s="18">
        <v>40</v>
      </c>
      <c r="D2" s="18">
        <v>0.25</v>
      </c>
      <c r="E2" s="18">
        <v>28.520019999999999</v>
      </c>
      <c r="F2" s="18" t="s">
        <v>248</v>
      </c>
      <c r="G2" s="18">
        <v>55972034</v>
      </c>
      <c r="I2" s="18">
        <v>37</v>
      </c>
      <c r="J2" s="18" t="s">
        <v>40</v>
      </c>
      <c r="K2" s="18">
        <v>23</v>
      </c>
      <c r="L2" s="18">
        <v>0.25</v>
      </c>
      <c r="M2" s="18">
        <v>13.35999</v>
      </c>
      <c r="N2" s="18" t="s">
        <v>247</v>
      </c>
      <c r="O2" s="18">
        <v>116692954</v>
      </c>
    </row>
    <row r="3" spans="1:16" x14ac:dyDescent="0.3">
      <c r="A3" s="19">
        <v>37</v>
      </c>
      <c r="B3" s="19" t="s">
        <v>1</v>
      </c>
      <c r="C3" s="19">
        <v>44</v>
      </c>
      <c r="D3" s="19">
        <v>0.25</v>
      </c>
      <c r="E3" s="19">
        <v>16.739989999999999</v>
      </c>
      <c r="F3" s="19" t="s">
        <v>228</v>
      </c>
      <c r="G3" s="19">
        <v>36572713</v>
      </c>
    </row>
  </sheetData>
  <conditionalFormatting sqref="M2">
    <cfRule type="cellIs" dxfId="69" priority="9" operator="lessThan">
      <formula>0</formula>
    </cfRule>
  </conditionalFormatting>
  <conditionalFormatting sqref="K2">
    <cfRule type="cellIs" priority="8" operator="notBetween">
      <formula>0</formula>
      <formula>300</formula>
    </cfRule>
  </conditionalFormatting>
  <conditionalFormatting sqref="M2">
    <cfRule type="cellIs" dxfId="68" priority="7" operator="notBetween">
      <formula>0</formula>
      <formula>200</formula>
    </cfRule>
  </conditionalFormatting>
  <conditionalFormatting sqref="E2">
    <cfRule type="cellIs" dxfId="67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66" priority="4" operator="notBetween">
      <formula>0</formula>
      <formula>200</formula>
    </cfRule>
  </conditionalFormatting>
  <conditionalFormatting sqref="E3">
    <cfRule type="cellIs" dxfId="65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64" priority="1" operator="notBetween">
      <formula>0</formula>
      <formula>200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B0D0-DA9B-4BD1-8149-4133D4944D07}">
  <sheetPr codeName="Blad49"/>
  <dimension ref="A1:P4"/>
  <sheetViews>
    <sheetView workbookViewId="0"/>
  </sheetViews>
  <sheetFormatPr defaultRowHeight="14.4" x14ac:dyDescent="0.3"/>
  <sheetData>
    <row r="1" spans="1:16" x14ac:dyDescent="0.3">
      <c r="H1">
        <v>3</v>
      </c>
      <c r="P1">
        <v>5</v>
      </c>
    </row>
    <row r="2" spans="1:16" x14ac:dyDescent="0.3">
      <c r="A2" s="18">
        <v>38</v>
      </c>
      <c r="B2" s="18" t="s">
        <v>1</v>
      </c>
      <c r="C2" s="18">
        <v>93</v>
      </c>
      <c r="D2" s="18">
        <v>0.25</v>
      </c>
      <c r="E2" s="18">
        <v>56.319949999999999</v>
      </c>
      <c r="F2" s="18" t="s">
        <v>250</v>
      </c>
      <c r="G2" s="18">
        <v>216600361</v>
      </c>
      <c r="I2" s="18">
        <v>38</v>
      </c>
      <c r="J2" s="18" t="s">
        <v>40</v>
      </c>
      <c r="K2" s="18">
        <v>85</v>
      </c>
      <c r="L2" s="18">
        <v>0.25</v>
      </c>
      <c r="M2" s="18">
        <v>35.89996</v>
      </c>
      <c r="N2" s="18" t="s">
        <v>249</v>
      </c>
      <c r="O2" s="18">
        <v>192600326</v>
      </c>
    </row>
    <row r="3" spans="1:16" x14ac:dyDescent="0.3">
      <c r="I3" s="19">
        <v>38</v>
      </c>
      <c r="J3" s="19" t="s">
        <v>40</v>
      </c>
      <c r="K3" s="19">
        <v>45</v>
      </c>
      <c r="L3" s="19">
        <v>0.25</v>
      </c>
      <c r="M3" s="19">
        <v>34.780029999999996</v>
      </c>
      <c r="N3" s="19" t="s">
        <v>229</v>
      </c>
      <c r="O3" s="19">
        <v>113766609</v>
      </c>
    </row>
    <row r="4" spans="1:16" x14ac:dyDescent="0.3">
      <c r="I4" s="19">
        <v>38</v>
      </c>
      <c r="J4" s="19" t="s">
        <v>40</v>
      </c>
      <c r="K4" s="19">
        <v>83</v>
      </c>
      <c r="L4" s="19">
        <v>0.25</v>
      </c>
      <c r="M4" s="19">
        <v>45.140009999999997</v>
      </c>
      <c r="N4" s="19" t="s">
        <v>230</v>
      </c>
      <c r="O4" s="19">
        <v>253981079</v>
      </c>
    </row>
  </sheetData>
  <conditionalFormatting sqref="M2">
    <cfRule type="cellIs" dxfId="63" priority="12" operator="lessThan">
      <formula>0</formula>
    </cfRule>
  </conditionalFormatting>
  <conditionalFormatting sqref="K2">
    <cfRule type="cellIs" priority="11" operator="notBetween">
      <formula>0</formula>
      <formula>300</formula>
    </cfRule>
  </conditionalFormatting>
  <conditionalFormatting sqref="M2">
    <cfRule type="cellIs" dxfId="62" priority="10" operator="notBetween">
      <formula>0</formula>
      <formula>200</formula>
    </cfRule>
  </conditionalFormatting>
  <conditionalFormatting sqref="E2">
    <cfRule type="cellIs" dxfId="61" priority="9" operator="lessThan">
      <formula>0</formula>
    </cfRule>
  </conditionalFormatting>
  <conditionalFormatting sqref="C2">
    <cfRule type="cellIs" priority="8" operator="notBetween">
      <formula>0</formula>
      <formula>300</formula>
    </cfRule>
  </conditionalFormatting>
  <conditionalFormatting sqref="E2">
    <cfRule type="cellIs" dxfId="60" priority="7" operator="notBetween">
      <formula>0</formula>
      <formula>200</formula>
    </cfRule>
  </conditionalFormatting>
  <conditionalFormatting sqref="M3">
    <cfRule type="cellIs" dxfId="59" priority="6" operator="lessThan">
      <formula>0</formula>
    </cfRule>
  </conditionalFormatting>
  <conditionalFormatting sqref="K3">
    <cfRule type="cellIs" priority="5" operator="notBetween">
      <formula>0</formula>
      <formula>300</formula>
    </cfRule>
  </conditionalFormatting>
  <conditionalFormatting sqref="M3">
    <cfRule type="cellIs" dxfId="58" priority="4" operator="notBetween">
      <formula>0</formula>
      <formula>200</formula>
    </cfRule>
  </conditionalFormatting>
  <conditionalFormatting sqref="M4">
    <cfRule type="cellIs" dxfId="57" priority="3" operator="lessThan">
      <formula>0</formula>
    </cfRule>
  </conditionalFormatting>
  <conditionalFormatting sqref="K4">
    <cfRule type="cellIs" priority="2" operator="notBetween">
      <formula>0</formula>
      <formula>300</formula>
    </cfRule>
  </conditionalFormatting>
  <conditionalFormatting sqref="M4">
    <cfRule type="cellIs" dxfId="56" priority="1" operator="notBetween">
      <formula>0</formula>
      <formula>200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02E63-6072-4060-867A-60CA7057A964}">
  <sheetPr codeName="Blad50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8">
        <v>39</v>
      </c>
      <c r="B2" s="18" t="s">
        <v>1</v>
      </c>
      <c r="C2" s="18">
        <v>73</v>
      </c>
      <c r="D2" s="18">
        <v>0.25</v>
      </c>
      <c r="E2" s="18">
        <v>23.64001</v>
      </c>
      <c r="F2" s="18" t="s">
        <v>251</v>
      </c>
      <c r="G2" s="18">
        <v>186240291</v>
      </c>
    </row>
  </sheetData>
  <conditionalFormatting sqref="E2">
    <cfRule type="cellIs" dxfId="5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54" priority="1" operator="notBetween">
      <formula>0</formula>
      <formula>200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5506-5D46-42AC-A7E8-5AB75F374355}">
  <sheetPr codeName="Blad51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3</v>
      </c>
    </row>
    <row r="2" spans="1:16" x14ac:dyDescent="0.3">
      <c r="A2" s="18">
        <v>40</v>
      </c>
      <c r="B2" s="18" t="s">
        <v>1</v>
      </c>
      <c r="C2" s="18">
        <v>41</v>
      </c>
      <c r="D2" s="18">
        <v>0.25</v>
      </c>
      <c r="E2" s="18">
        <v>14.82</v>
      </c>
      <c r="F2" s="18" t="s">
        <v>28</v>
      </c>
      <c r="G2" s="18" t="s">
        <v>18</v>
      </c>
      <c r="I2" s="18">
        <v>40</v>
      </c>
      <c r="J2" s="18" t="s">
        <v>40</v>
      </c>
      <c r="K2" s="18">
        <v>31</v>
      </c>
      <c r="L2" s="18">
        <v>0.25</v>
      </c>
      <c r="M2" s="18">
        <v>15.06</v>
      </c>
      <c r="N2" s="18" t="s">
        <v>252</v>
      </c>
      <c r="O2" s="18">
        <v>145118551</v>
      </c>
    </row>
    <row r="3" spans="1:16" x14ac:dyDescent="0.3">
      <c r="A3" s="18">
        <v>40</v>
      </c>
      <c r="B3" s="18" t="s">
        <v>1</v>
      </c>
      <c r="C3" s="18">
        <v>41</v>
      </c>
      <c r="D3" s="18">
        <v>0.25</v>
      </c>
      <c r="E3" s="18">
        <v>15.10004</v>
      </c>
      <c r="F3" s="18" t="s">
        <v>28</v>
      </c>
      <c r="G3" s="18">
        <v>127734589</v>
      </c>
    </row>
  </sheetData>
  <conditionalFormatting sqref="E2">
    <cfRule type="cellIs" dxfId="53" priority="9" operator="lessThan">
      <formula>0</formula>
    </cfRule>
  </conditionalFormatting>
  <conditionalFormatting sqref="C2">
    <cfRule type="cellIs" priority="8" operator="notBetween">
      <formula>0</formula>
      <formula>300</formula>
    </cfRule>
  </conditionalFormatting>
  <conditionalFormatting sqref="E2">
    <cfRule type="cellIs" dxfId="52" priority="7" operator="notBetween">
      <formula>0</formula>
      <formula>200</formula>
    </cfRule>
  </conditionalFormatting>
  <conditionalFormatting sqref="M2">
    <cfRule type="cellIs" dxfId="51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50" priority="4" operator="notBetween">
      <formula>0</formula>
      <formula>200</formula>
    </cfRule>
  </conditionalFormatting>
  <conditionalFormatting sqref="E3">
    <cfRule type="cellIs" dxfId="49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48" priority="1" operator="notBetween">
      <formula>0</formula>
      <formula>200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CC637-EAC0-4DF6-815E-816758AF7026}">
  <sheetPr codeName="Blad52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2</v>
      </c>
    </row>
    <row r="2" spans="1:16" x14ac:dyDescent="0.3">
      <c r="A2" s="18">
        <v>41</v>
      </c>
      <c r="B2" s="18" t="s">
        <v>1</v>
      </c>
      <c r="C2" s="18">
        <v>50</v>
      </c>
      <c r="D2" s="18">
        <v>0.25</v>
      </c>
      <c r="E2" s="18">
        <v>21.1</v>
      </c>
      <c r="F2" s="18" t="s">
        <v>29</v>
      </c>
      <c r="G2" s="18" t="s">
        <v>18</v>
      </c>
    </row>
    <row r="3" spans="1:16" x14ac:dyDescent="0.3">
      <c r="A3" s="18">
        <v>41</v>
      </c>
      <c r="B3" s="18" t="s">
        <v>1</v>
      </c>
      <c r="C3" s="18">
        <v>50</v>
      </c>
      <c r="D3" s="18">
        <v>0.25</v>
      </c>
      <c r="E3" s="18">
        <v>15.979979999999999</v>
      </c>
      <c r="F3" s="18" t="s">
        <v>253</v>
      </c>
      <c r="G3" s="18">
        <v>265</v>
      </c>
    </row>
  </sheetData>
  <conditionalFormatting sqref="E2">
    <cfRule type="cellIs" dxfId="47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46" priority="4" operator="notBetween">
      <formula>0</formula>
      <formula>200</formula>
    </cfRule>
  </conditionalFormatting>
  <conditionalFormatting sqref="E3">
    <cfRule type="cellIs" dxfId="45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44" priority="1" operator="notBetween">
      <formula>0</formula>
      <formula>200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95AE5-F92B-4425-A40C-495D99269E05}">
  <sheetPr codeName="Blad53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2</v>
      </c>
    </row>
    <row r="2" spans="1:16" x14ac:dyDescent="0.3">
      <c r="A2" s="18">
        <v>42</v>
      </c>
      <c r="B2" s="18" t="s">
        <v>1</v>
      </c>
      <c r="C2" s="18">
        <v>20</v>
      </c>
      <c r="D2" s="18">
        <v>0.25</v>
      </c>
      <c r="E2" s="18">
        <v>7.7799990000000001</v>
      </c>
      <c r="F2" s="18" t="s">
        <v>27</v>
      </c>
      <c r="G2" s="18" t="s">
        <v>18</v>
      </c>
    </row>
    <row r="3" spans="1:16" x14ac:dyDescent="0.3">
      <c r="A3" s="18">
        <v>42</v>
      </c>
      <c r="B3" s="18" t="s">
        <v>1</v>
      </c>
      <c r="C3" s="18">
        <v>18</v>
      </c>
      <c r="D3" s="18">
        <v>0.25</v>
      </c>
      <c r="E3" s="18">
        <v>5.7598880000000001</v>
      </c>
      <c r="F3" s="18" t="s">
        <v>254</v>
      </c>
      <c r="G3" s="18">
        <v>7560175</v>
      </c>
    </row>
  </sheetData>
  <conditionalFormatting sqref="E2">
    <cfRule type="cellIs" dxfId="43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42" priority="4" operator="notBetween">
      <formula>0</formula>
      <formula>200</formula>
    </cfRule>
  </conditionalFormatting>
  <conditionalFormatting sqref="E3">
    <cfRule type="cellIs" dxfId="41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40" priority="1" operator="notBetween">
      <formula>0</formula>
      <formula>200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4117-C718-494C-9CFE-6A9DFD9CF6CD}">
  <sheetPr codeName="Blad54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3</v>
      </c>
    </row>
    <row r="2" spans="1:16" x14ac:dyDescent="0.3">
      <c r="A2" s="18">
        <v>43</v>
      </c>
      <c r="B2" s="18" t="s">
        <v>1</v>
      </c>
      <c r="C2" s="18">
        <v>55</v>
      </c>
      <c r="D2" s="18">
        <v>0.25</v>
      </c>
      <c r="E2" s="18">
        <v>21.279910000000001</v>
      </c>
      <c r="F2" s="18" t="s">
        <v>255</v>
      </c>
      <c r="G2" s="18">
        <v>118481212</v>
      </c>
      <c r="I2" s="18">
        <v>43</v>
      </c>
      <c r="J2" s="18" t="s">
        <v>40</v>
      </c>
      <c r="K2" s="18">
        <v>55</v>
      </c>
      <c r="L2" s="18">
        <v>0.25</v>
      </c>
      <c r="M2" s="18">
        <v>22.29993</v>
      </c>
      <c r="N2" s="18" t="s">
        <v>255</v>
      </c>
      <c r="O2" s="18">
        <v>70715436</v>
      </c>
    </row>
    <row r="3" spans="1:16" x14ac:dyDescent="0.3">
      <c r="A3" s="18">
        <v>43</v>
      </c>
      <c r="B3" s="18" t="s">
        <v>1</v>
      </c>
      <c r="C3" s="18">
        <v>47</v>
      </c>
      <c r="D3" s="18">
        <v>0.25</v>
      </c>
      <c r="E3" s="18">
        <v>15.679930000000001</v>
      </c>
      <c r="F3" s="18" t="s">
        <v>256</v>
      </c>
      <c r="G3" s="18">
        <v>186945846</v>
      </c>
    </row>
  </sheetData>
  <conditionalFormatting sqref="E2">
    <cfRule type="cellIs" dxfId="39" priority="9" operator="lessThan">
      <formula>0</formula>
    </cfRule>
  </conditionalFormatting>
  <conditionalFormatting sqref="C2">
    <cfRule type="cellIs" priority="8" operator="notBetween">
      <formula>0</formula>
      <formula>300</formula>
    </cfRule>
  </conditionalFormatting>
  <conditionalFormatting sqref="E2">
    <cfRule type="cellIs" dxfId="38" priority="7" operator="notBetween">
      <formula>0</formula>
      <formula>200</formula>
    </cfRule>
  </conditionalFormatting>
  <conditionalFormatting sqref="M2">
    <cfRule type="cellIs" dxfId="37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36" priority="4" operator="notBetween">
      <formula>0</formula>
      <formula>200</formula>
    </cfRule>
  </conditionalFormatting>
  <conditionalFormatting sqref="E3">
    <cfRule type="cellIs" dxfId="35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34" priority="1" operator="notBetween">
      <formula>0</formula>
      <formula>200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A1D8E-5A5D-4871-9CF3-2B5A834D5B36}">
  <sheetPr codeName="Blad55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8">
        <v>44</v>
      </c>
      <c r="B2" s="18" t="s">
        <v>1</v>
      </c>
      <c r="C2" s="18">
        <v>56</v>
      </c>
      <c r="D2" s="18">
        <v>0.25</v>
      </c>
      <c r="E2" s="18">
        <v>18.239989999999999</v>
      </c>
      <c r="F2" s="18" t="s">
        <v>257</v>
      </c>
      <c r="G2" s="18">
        <v>191094030</v>
      </c>
    </row>
  </sheetData>
  <conditionalFormatting sqref="E2">
    <cfRule type="cellIs" dxfId="3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32" priority="1" operator="notBetween">
      <formula>0</formula>
      <formula>200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BF92-6B15-4695-ACB4-967F302976A7}">
  <sheetPr codeName="Blad56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8">
        <v>45</v>
      </c>
      <c r="B2" s="18" t="s">
        <v>1</v>
      </c>
      <c r="C2" s="18">
        <v>35</v>
      </c>
      <c r="D2" s="18">
        <v>0.25</v>
      </c>
      <c r="E2" s="18">
        <v>12.300050000000001</v>
      </c>
      <c r="F2" s="18" t="s">
        <v>258</v>
      </c>
      <c r="G2" s="18">
        <v>3964979</v>
      </c>
    </row>
  </sheetData>
  <conditionalFormatting sqref="E2">
    <cfRule type="cellIs" dxfId="3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30" priority="1" operator="notBetween">
      <formula>0</formula>
      <formula>200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EAF2B-3C63-41C4-B491-D3C753712BBE}">
  <sheetPr codeName="Blad57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B312D-26EE-4AFD-A9B8-75FA8AA278D3}">
  <sheetPr codeName="Blad58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CB70C-9D0D-479A-920F-F38EAE8A61C1}">
  <sheetPr codeName="Blad59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AF9E-DC34-4CDB-A55D-681293B1DB85}">
  <sheetPr codeName="Blad6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11158-F087-479B-BFE8-154C56F482F7}">
  <sheetPr codeName="Blad61"/>
  <dimension ref="H1:P1"/>
  <sheetViews>
    <sheetView workbookViewId="0">
      <selection activeCell="I22" sqref="I22"/>
    </sheetView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B72D-6750-4D3A-9A54-5DD41F44FE27}">
  <sheetPr codeName="Blad1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E40AE-CD35-412A-8A07-5B5BCAC75817}">
  <sheetPr codeName="Blad11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ED93-E897-4B1A-957D-A0E72B6F8299}">
  <sheetPr codeName="Blad12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6A285-1AC7-4F7D-A1C8-EBCA7C33690F}">
  <sheetPr codeName="Blad13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7D77-5BC8-4ADC-BC07-FB1318732A1B}">
  <sheetPr codeName="Blad14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4A0D4-539B-4BB9-A51B-13BD38D7408C}">
  <sheetPr codeName="Blad15"/>
  <dimension ref="H1:P1"/>
  <sheetViews>
    <sheetView workbookViewId="0">
      <selection activeCell="H1" sqref="H1"/>
    </sheetView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CE29-19FA-4FBF-8875-CC3E483D5B92}">
  <sheetPr codeName="Blad16"/>
  <dimension ref="H1:P1"/>
  <sheetViews>
    <sheetView workbookViewId="0">
      <selection activeCell="B1" sqref="B1"/>
    </sheetView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323FC-7D92-422C-8236-666DDF1AFC4E}">
  <sheetPr codeName="Blad17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E688-349B-44F6-AF3C-C1275359ACB5}">
  <sheetPr codeName="Blad18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E948-DAE8-4DF6-A2D8-E42D86718461}">
  <sheetPr codeName="Blad62"/>
  <dimension ref="A1:P3"/>
  <sheetViews>
    <sheetView workbookViewId="0"/>
  </sheetViews>
  <sheetFormatPr defaultRowHeight="14.4" x14ac:dyDescent="0.3"/>
  <sheetData>
    <row r="1" spans="1:16" x14ac:dyDescent="0.3">
      <c r="H1">
        <v>4</v>
      </c>
      <c r="P1">
        <v>2</v>
      </c>
    </row>
    <row r="2" spans="1:16" x14ac:dyDescent="0.3">
      <c r="A2" s="18">
        <v>60</v>
      </c>
      <c r="B2" s="18" t="s">
        <v>1</v>
      </c>
      <c r="C2" s="18">
        <v>47</v>
      </c>
      <c r="D2" s="18">
        <v>0.25</v>
      </c>
      <c r="E2" s="18">
        <v>17.8</v>
      </c>
      <c r="F2" s="18" t="s">
        <v>37</v>
      </c>
      <c r="G2" s="18" t="s">
        <v>18</v>
      </c>
    </row>
    <row r="3" spans="1:16" x14ac:dyDescent="0.3">
      <c r="A3" s="19">
        <v>60</v>
      </c>
      <c r="B3" s="19" t="s">
        <v>1</v>
      </c>
      <c r="C3" s="19">
        <v>47</v>
      </c>
      <c r="D3" s="19">
        <v>0.25</v>
      </c>
      <c r="E3" s="19">
        <v>15.94</v>
      </c>
      <c r="F3" s="19" t="s">
        <v>231</v>
      </c>
      <c r="G3" s="19">
        <v>6809825</v>
      </c>
    </row>
  </sheetData>
  <conditionalFormatting sqref="E2">
    <cfRule type="cellIs" dxfId="29" priority="6" operator="lessThan">
      <formula>0</formula>
    </cfRule>
  </conditionalFormatting>
  <conditionalFormatting sqref="C2">
    <cfRule type="cellIs" priority="5" operator="notBetween">
      <formula>0</formula>
      <formula>300</formula>
    </cfRule>
  </conditionalFormatting>
  <conditionalFormatting sqref="E2">
    <cfRule type="cellIs" dxfId="28" priority="4" operator="notBetween">
      <formula>0</formula>
      <formula>200</formula>
    </cfRule>
  </conditionalFormatting>
  <conditionalFormatting sqref="E3">
    <cfRule type="cellIs" dxfId="27" priority="3" operator="lessThan">
      <formula>0</formula>
    </cfRule>
  </conditionalFormatting>
  <conditionalFormatting sqref="C3">
    <cfRule type="cellIs" priority="2" operator="notBetween">
      <formula>0</formula>
      <formula>300</formula>
    </cfRule>
  </conditionalFormatting>
  <conditionalFormatting sqref="E3">
    <cfRule type="cellIs" dxfId="26" priority="1" operator="notBetween">
      <formula>0</formula>
      <formula>200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B240-CC6F-428E-A60B-D5A1994B7C93}">
  <sheetPr codeName="Blad63"/>
  <dimension ref="A1:P2"/>
  <sheetViews>
    <sheetView view="pageLayout" zoomScaleNormal="100" workbookViewId="0"/>
  </sheetViews>
  <sheetFormatPr defaultRowHeight="14.4" x14ac:dyDescent="0.3"/>
  <sheetData>
    <row r="1" spans="1:16" x14ac:dyDescent="0.3">
      <c r="H1">
        <v>3</v>
      </c>
      <c r="P1">
        <v>3</v>
      </c>
    </row>
    <row r="2" spans="1:16" x14ac:dyDescent="0.3">
      <c r="A2" s="19">
        <v>61</v>
      </c>
      <c r="B2" s="19" t="s">
        <v>1</v>
      </c>
      <c r="C2" s="19">
        <v>83</v>
      </c>
      <c r="D2" s="19">
        <v>0.25</v>
      </c>
      <c r="E2" s="19">
        <v>26.64</v>
      </c>
      <c r="F2" s="19" t="s">
        <v>233</v>
      </c>
      <c r="G2" s="19">
        <v>66000338</v>
      </c>
      <c r="I2" s="19">
        <v>61</v>
      </c>
      <c r="J2" s="19" t="s">
        <v>40</v>
      </c>
      <c r="K2" s="19">
        <v>14</v>
      </c>
      <c r="L2" s="19">
        <v>0.25</v>
      </c>
      <c r="M2" s="19">
        <v>5.4600030000000004</v>
      </c>
      <c r="N2" s="19" t="s">
        <v>232</v>
      </c>
      <c r="O2" s="19">
        <v>33354717</v>
      </c>
    </row>
  </sheetData>
  <conditionalFormatting sqref="M2">
    <cfRule type="cellIs" dxfId="25" priority="6" operator="lessThan">
      <formula>0</formula>
    </cfRule>
  </conditionalFormatting>
  <conditionalFormatting sqref="K2">
    <cfRule type="cellIs" priority="5" operator="notBetween">
      <formula>0</formula>
      <formula>300</formula>
    </cfRule>
  </conditionalFormatting>
  <conditionalFormatting sqref="M2">
    <cfRule type="cellIs" dxfId="24" priority="4" operator="notBetween">
      <formula>0</formula>
      <formula>200</formula>
    </cfRule>
  </conditionalFormatting>
  <conditionalFormatting sqref="E2">
    <cfRule type="cellIs" dxfId="2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2" priority="1" operator="notBetween">
      <formula>0</formula>
      <formula>200</formula>
    </cfRule>
  </conditionalFormatting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33CE4-2A8F-4FED-B53C-02EE11A63B43}">
  <sheetPr codeName="Blad64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62</v>
      </c>
      <c r="B2" s="19" t="s">
        <v>1</v>
      </c>
      <c r="C2" s="19">
        <v>73</v>
      </c>
      <c r="D2" s="19">
        <v>0.25</v>
      </c>
      <c r="E2" s="19">
        <v>30.74</v>
      </c>
      <c r="F2" s="19" t="s">
        <v>234</v>
      </c>
      <c r="G2" s="19">
        <v>6648283</v>
      </c>
    </row>
  </sheetData>
  <conditionalFormatting sqref="E2">
    <cfRule type="cellIs" dxfId="2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0" priority="1" operator="notBetween">
      <formula>0</formula>
      <formula>200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E7149-6B3D-4C28-95A0-B36150AE6059}">
  <sheetPr codeName="Blad65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63</v>
      </c>
      <c r="B2" s="19" t="s">
        <v>1</v>
      </c>
      <c r="C2" s="19">
        <v>84</v>
      </c>
      <c r="D2" s="19">
        <v>0.25</v>
      </c>
      <c r="E2" s="19">
        <v>27.62</v>
      </c>
      <c r="F2" s="19" t="s">
        <v>235</v>
      </c>
      <c r="G2" s="19">
        <v>135219507</v>
      </c>
    </row>
  </sheetData>
  <conditionalFormatting sqref="E2">
    <cfRule type="cellIs" dxfId="1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8" priority="1" operator="notBetween">
      <formula>0</formula>
      <formula>200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3DCBF-533C-4649-AA34-FE69D3ED3A6C}">
  <sheetPr codeName="Blad66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64</v>
      </c>
      <c r="B2" s="19" t="s">
        <v>1</v>
      </c>
      <c r="C2" s="19">
        <v>80</v>
      </c>
      <c r="D2" s="19">
        <v>0.25</v>
      </c>
      <c r="E2" s="19">
        <v>41.099989999999998</v>
      </c>
      <c r="F2" s="19" t="s">
        <v>236</v>
      </c>
      <c r="G2" s="19">
        <v>110720354</v>
      </c>
    </row>
  </sheetData>
  <conditionalFormatting sqref="E2">
    <cfRule type="cellIs" dxfId="1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6" priority="1" operator="notBetween">
      <formula>0</formula>
      <formula>200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68F8-9660-474D-BD57-0253B016C636}">
  <sheetPr codeName="Blad67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65</v>
      </c>
      <c r="B2" s="19" t="s">
        <v>1</v>
      </c>
      <c r="C2" s="19">
        <v>34</v>
      </c>
      <c r="D2" s="19">
        <v>0.25</v>
      </c>
      <c r="E2" s="19">
        <v>11.319990000000001</v>
      </c>
      <c r="F2" s="19" t="s">
        <v>237</v>
      </c>
      <c r="G2" s="19">
        <v>57680209</v>
      </c>
    </row>
  </sheetData>
  <conditionalFormatting sqref="E2">
    <cfRule type="cellIs" dxfId="1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4" priority="1" operator="notBetween">
      <formula>0</formula>
      <formula>200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EA117-A92A-4235-A32F-21A5F137A1F4}">
  <sheetPr codeName="Blad68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4E165-6CED-486C-8F59-9D5EB19E1000}">
  <sheetPr codeName="Blad69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B531-6590-4E4F-9055-C02E3D4AFBC6}">
  <sheetPr codeName="Blad7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AFDF-35A2-475D-AF8D-098AD7AC9D76}">
  <sheetPr codeName="Blad71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ACA2-8454-4C2D-8391-3AC7B07C1D1C}">
  <sheetPr codeName="Blad72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70</v>
      </c>
      <c r="B2" s="19" t="s">
        <v>1</v>
      </c>
      <c r="C2" s="19">
        <v>60</v>
      </c>
      <c r="D2" s="19">
        <v>0.25</v>
      </c>
      <c r="E2" s="19">
        <v>37.880000000000003</v>
      </c>
      <c r="F2" s="19" t="s">
        <v>162</v>
      </c>
      <c r="G2" s="19">
        <v>1774659124</v>
      </c>
    </row>
  </sheetData>
  <conditionalFormatting sqref="E2">
    <cfRule type="cellIs" dxfId="1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2" priority="1" operator="notBetween">
      <formula>0</formula>
      <formula>200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602-66EE-4AB1-B5A6-ED41F16A661F}">
  <sheetPr codeName="Blad73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71</v>
      </c>
      <c r="B2" s="19" t="s">
        <v>1</v>
      </c>
      <c r="C2" s="19">
        <v>61</v>
      </c>
      <c r="D2" s="19">
        <v>0.25</v>
      </c>
      <c r="E2" s="19">
        <v>31.64001</v>
      </c>
      <c r="F2" s="19" t="s">
        <v>163</v>
      </c>
      <c r="G2" s="19">
        <v>729240845</v>
      </c>
    </row>
  </sheetData>
  <conditionalFormatting sqref="E2">
    <cfRule type="cellIs" dxfId="1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10" priority="1" operator="notBetween">
      <formula>0</formula>
      <formula>200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D4C6-C3FC-41B1-9622-E3517EE8C79C}">
  <sheetPr codeName="Blad74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1F93-F17E-46C2-97B8-3A201BE83572}">
  <sheetPr codeName="Blad75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73</v>
      </c>
      <c r="B2" s="19" t="s">
        <v>1</v>
      </c>
      <c r="C2" s="19">
        <v>61</v>
      </c>
      <c r="D2" s="19">
        <v>0.25</v>
      </c>
      <c r="E2" s="19">
        <v>20.959959999999999</v>
      </c>
      <c r="F2" s="19" t="s">
        <v>165</v>
      </c>
      <c r="G2" s="19">
        <v>-828393125</v>
      </c>
    </row>
  </sheetData>
  <conditionalFormatting sqref="E2">
    <cfRule type="cellIs" dxfId="9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8" priority="1" operator="notBetween">
      <formula>0</formula>
      <formula>200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CC11-61B2-40F6-87D8-E6CC8BAC6B26}">
  <sheetPr codeName="Blad76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74</v>
      </c>
      <c r="B2" s="19" t="s">
        <v>1</v>
      </c>
      <c r="C2" s="19">
        <v>95</v>
      </c>
      <c r="D2" s="19">
        <v>0.25</v>
      </c>
      <c r="E2" s="19">
        <v>35.700000000000003</v>
      </c>
      <c r="F2" s="19" t="s">
        <v>168</v>
      </c>
      <c r="G2" s="19">
        <v>-2081999296</v>
      </c>
    </row>
  </sheetData>
  <conditionalFormatting sqref="E2">
    <cfRule type="cellIs" dxfId="7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6" priority="1" operator="notBetween">
      <formula>0</formula>
      <formula>200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73CB-B3F5-48D9-9C83-AE4AF7E500BF}">
  <sheetPr codeName="Blad77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75</v>
      </c>
      <c r="B2" s="19" t="s">
        <v>1</v>
      </c>
      <c r="C2" s="19">
        <v>170</v>
      </c>
      <c r="D2" s="19">
        <v>0.25</v>
      </c>
      <c r="E2" s="19">
        <v>67.759990000000002</v>
      </c>
      <c r="F2" s="19" t="s">
        <v>169</v>
      </c>
      <c r="G2" s="19">
        <v>-61789180</v>
      </c>
    </row>
  </sheetData>
  <conditionalFormatting sqref="E2">
    <cfRule type="cellIs" dxfId="5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4" priority="1" operator="notBetween">
      <formula>0</formula>
      <formula>200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3A10-0879-4C5C-8E61-199DCF424908}">
  <sheetPr codeName="Blad78"/>
  <dimension ref="A1:P2"/>
  <sheetViews>
    <sheetView workbookViewId="0"/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9">
        <v>76</v>
      </c>
      <c r="B2" s="19" t="s">
        <v>1</v>
      </c>
      <c r="C2" s="19">
        <v>59</v>
      </c>
      <c r="D2" s="19">
        <v>0.25</v>
      </c>
      <c r="E2" s="19">
        <v>35.599989999999998</v>
      </c>
      <c r="F2" s="19" t="s">
        <v>174</v>
      </c>
      <c r="G2" s="19">
        <v>478083329</v>
      </c>
    </row>
  </sheetData>
  <conditionalFormatting sqref="E2">
    <cfRule type="cellIs" dxfId="3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2" priority="1" operator="notBetween">
      <formula>0</formula>
      <formula>200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36C66-B24B-46C9-B5A7-0E1203384F99}">
  <sheetPr codeName="Blad79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0007-9840-4C91-80FF-4873A0EC54EE}">
  <sheetPr codeName="Blad8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6CC7-DBC7-4975-A1C0-9B57CE5D87AC}">
  <sheetPr codeName="Blad81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CCECF-6E02-44F2-B184-1C5F318EB78E}">
  <sheetPr codeName="Blad82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FD3D0-4722-486A-8D8C-90C112A60610}">
  <sheetPr codeName="Blad83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3295-FA96-4168-860F-5830350ED25A}">
  <sheetPr codeName="Blad84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5321-95EC-4421-854D-13A6EAD22681}">
  <sheetPr codeName="Blad85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3017F-F51B-4FD8-9512-91A41281F72E}">
  <sheetPr codeName="Blad86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F9F6-0FC3-4FD5-8574-4020B90A503F}">
  <sheetPr codeName="Blad87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691E-28B9-4FB4-8D58-4CA3D676F5E9}">
  <sheetPr codeName="Blad10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E9E2-2109-4C63-8CBA-5F1F130E4BF1}">
  <sheetPr codeName="Blad88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0C8C8-8439-4F57-9C24-EF77C15FCCE0}">
  <sheetPr codeName="Blad89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8599-479E-4D36-A2F6-B57EC80563BB}">
  <sheetPr codeName="Blad9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15ABE-1B40-4492-A07A-D8A3901863B4}">
  <sheetPr codeName="Blad91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CD835-A6FC-46A5-8A1E-FB04DA495643}">
  <sheetPr codeName="Blad92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B599C-804E-4201-95A3-CDD1D648DAB8}">
  <sheetPr codeName="Blad93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C089E-9BD5-4CD0-94E7-15C59C5E3B86}">
  <sheetPr codeName="Blad94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C3DDE-7DBD-48AE-8BE1-F5FEC7027BD1}">
  <sheetPr codeName="Blad95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62AAA-460B-4617-A2B6-78BDD1CE837B}">
  <sheetPr codeName="Blad96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C031-49DE-4B6E-80F8-BB87F5D3E87F}">
  <sheetPr codeName="Blad97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4E6DE-5AC0-44FF-90D9-ECD9EB3D991C}">
  <sheetPr codeName="Blad98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BDC9-7CF5-4699-9F70-A1480F27F48F}">
  <sheetPr codeName="Blad99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6BF20-808D-4E6F-9A98-1C0A3FC02902}">
  <sheetPr codeName="Blad100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11B4B-0EA2-44F9-8098-B84ACFB5D9D3}">
  <sheetPr codeName="Blad101"/>
  <dimension ref="H1:P1"/>
  <sheetViews>
    <sheetView workbookViewId="0"/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8BC5-5410-4036-9A97-7BF435166149}">
  <sheetPr codeName="Blad102"/>
  <dimension ref="H1:P1"/>
  <sheetViews>
    <sheetView workbookViewId="0">
      <selection activeCell="K14" sqref="K14"/>
    </sheetView>
  </sheetViews>
  <sheetFormatPr defaultRowHeight="14.4" x14ac:dyDescent="0.3"/>
  <sheetData>
    <row r="1" spans="8:16" x14ac:dyDescent="0.3">
      <c r="H1">
        <v>2</v>
      </c>
      <c r="P1">
        <v>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FC5-6969-4754-AC3D-BCCF474F1EA7}">
  <sheetPr codeName="Blad105"/>
  <dimension ref="A1:P2"/>
  <sheetViews>
    <sheetView workbookViewId="0">
      <selection activeCell="Q25" sqref="Q25"/>
    </sheetView>
  </sheetViews>
  <sheetFormatPr defaultRowHeight="14.4" x14ac:dyDescent="0.3"/>
  <sheetData>
    <row r="1" spans="1:16" x14ac:dyDescent="0.3">
      <c r="H1">
        <v>3</v>
      </c>
      <c r="P1">
        <v>2</v>
      </c>
    </row>
    <row r="2" spans="1:16" x14ac:dyDescent="0.3">
      <c r="A2" s="18">
        <v>101</v>
      </c>
      <c r="B2" s="18" t="s">
        <v>1</v>
      </c>
      <c r="C2" s="18">
        <v>251</v>
      </c>
      <c r="D2" s="18">
        <v>0.25</v>
      </c>
      <c r="E2" s="18">
        <v>150.74</v>
      </c>
      <c r="F2" s="18" t="s">
        <v>150</v>
      </c>
      <c r="G2" s="18">
        <v>-618038451</v>
      </c>
    </row>
  </sheetData>
  <conditionalFormatting sqref="E2">
    <cfRule type="cellIs" dxfId="1" priority="3" operator="lessThan">
      <formula>0</formula>
    </cfRule>
  </conditionalFormatting>
  <conditionalFormatting sqref="C2">
    <cfRule type="cellIs" priority="2" operator="notBetween">
      <formula>0</formula>
      <formula>300</formula>
    </cfRule>
  </conditionalFormatting>
  <conditionalFormatting sqref="E2">
    <cfRule type="cellIs" dxfId="0" priority="1" operator="notBetween">
      <formula>0</formula>
      <formula>200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106</vt:i4>
      </vt:variant>
    </vt:vector>
  </HeadingPairs>
  <TitlesOfParts>
    <vt:vector size="106" baseType="lpstr">
      <vt:lpstr>Data</vt:lpstr>
      <vt:lpstr>a</vt:lpstr>
      <vt:lpstr>Export</vt:lpstr>
      <vt:lpstr>Blad1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Blad2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JelleWho</dc:creator>
  <cp:lastModifiedBy>user</cp:lastModifiedBy>
  <dcterms:created xsi:type="dcterms:W3CDTF">2017-12-04T09:15:04Z</dcterms:created>
  <dcterms:modified xsi:type="dcterms:W3CDTF">2018-03-29T10:42:33Z</dcterms:modified>
</cp:coreProperties>
</file>